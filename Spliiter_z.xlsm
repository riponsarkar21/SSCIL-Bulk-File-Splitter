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cking\Downloads\"/>
    </mc:Choice>
  </mc:AlternateContent>
  <xr:revisionPtr revIDLastSave="0" documentId="13_ncr:1_{2779DD4A-0022-47C8-BE97-8F62F2CFF4C3}" xr6:coauthVersionLast="47" xr6:coauthVersionMax="47" xr10:uidLastSave="{00000000-0000-0000-0000-000000000000}"/>
  <bookViews>
    <workbookView xWindow="-120" yWindow="-120" windowWidth="20730" windowHeight="11160" xr2:uid="{F06CAF83-2506-4903-92EB-28DE5F8E5E4C}"/>
  </bookViews>
  <sheets>
    <sheet name="Info" sheetId="1" r:id="rId1"/>
    <sheet name="Main" sheetId="2" r:id="rId2"/>
    <sheet name="BM" sheetId="3" r:id="rId3"/>
    <sheet name="AM" sheetId="4" r:id="rId4"/>
    <sheet name="Gold" sheetId="5" r:id="rId5"/>
  </sheets>
  <functionGroups builtInGroupCount="19"/>
  <externalReferences>
    <externalReference r:id="rId6"/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44" i="2" l="1"/>
  <c r="H344" i="2"/>
  <c r="K344" i="2" s="1"/>
  <c r="I343" i="2"/>
  <c r="H343" i="2"/>
  <c r="K343" i="2" s="1"/>
  <c r="I342" i="2"/>
  <c r="H342" i="2"/>
  <c r="K342" i="2" s="1"/>
  <c r="I341" i="2"/>
  <c r="H341" i="2"/>
  <c r="K341" i="2" s="1"/>
  <c r="I340" i="2"/>
  <c r="H340" i="2"/>
  <c r="K340" i="2" s="1"/>
  <c r="I339" i="2"/>
  <c r="H339" i="2"/>
  <c r="K339" i="2" s="1"/>
  <c r="K338" i="2"/>
  <c r="I338" i="2"/>
  <c r="H338" i="2"/>
  <c r="H337" i="2"/>
  <c r="K337" i="2" s="1"/>
  <c r="I336" i="2"/>
  <c r="H336" i="2"/>
  <c r="K336" i="2" s="1"/>
  <c r="I335" i="2"/>
  <c r="H335" i="2"/>
  <c r="K335" i="2" s="1"/>
  <c r="I334" i="2"/>
  <c r="H334" i="2"/>
  <c r="K334" i="2" s="1"/>
  <c r="I333" i="2"/>
  <c r="H333" i="2"/>
  <c r="K333" i="2" s="1"/>
  <c r="H332" i="2"/>
  <c r="K332" i="2" s="1"/>
  <c r="I331" i="2"/>
  <c r="H331" i="2"/>
  <c r="K331" i="2" s="1"/>
  <c r="K330" i="2"/>
  <c r="I330" i="2"/>
  <c r="H330" i="2"/>
  <c r="I329" i="2"/>
  <c r="H329" i="2"/>
  <c r="K329" i="2" s="1"/>
  <c r="I328" i="2"/>
  <c r="H328" i="2"/>
  <c r="K328" i="2" s="1"/>
  <c r="I327" i="2"/>
  <c r="H327" i="2"/>
  <c r="K327" i="2" s="1"/>
  <c r="I326" i="2"/>
  <c r="H326" i="2"/>
  <c r="K326" i="2" s="1"/>
  <c r="I325" i="2"/>
  <c r="H325" i="2"/>
  <c r="K325" i="2" s="1"/>
  <c r="K364" i="2"/>
  <c r="I364" i="2"/>
  <c r="H364" i="2"/>
  <c r="I363" i="2"/>
  <c r="H363" i="2"/>
  <c r="K363" i="2" s="1"/>
  <c r="I362" i="2"/>
  <c r="H362" i="2"/>
  <c r="K362" i="2" s="1"/>
  <c r="I361" i="2"/>
  <c r="H361" i="2"/>
  <c r="K361" i="2" s="1"/>
  <c r="I360" i="2"/>
  <c r="H360" i="2"/>
  <c r="K360" i="2" s="1"/>
  <c r="H359" i="2"/>
  <c r="K359" i="2" s="1"/>
  <c r="I358" i="2"/>
  <c r="H358" i="2"/>
  <c r="K358" i="2" s="1"/>
  <c r="I357" i="2"/>
  <c r="H357" i="2"/>
  <c r="K357" i="2" s="1"/>
  <c r="H356" i="2"/>
  <c r="K356" i="2" s="1"/>
  <c r="H355" i="2"/>
  <c r="K355" i="2" s="1"/>
  <c r="I354" i="2"/>
  <c r="H354" i="2"/>
  <c r="K354" i="2" s="1"/>
  <c r="I353" i="2"/>
  <c r="H353" i="2"/>
  <c r="K353" i="2" s="1"/>
  <c r="I352" i="2"/>
  <c r="H352" i="2"/>
  <c r="K352" i="2" s="1"/>
  <c r="I351" i="2"/>
  <c r="H351" i="2"/>
  <c r="K351" i="2" s="1"/>
  <c r="I350" i="2"/>
  <c r="H350" i="2"/>
  <c r="K350" i="2" s="1"/>
  <c r="I349" i="2"/>
  <c r="H349" i="2"/>
  <c r="K349" i="2" s="1"/>
  <c r="I348" i="2"/>
  <c r="H348" i="2"/>
  <c r="K348" i="2" s="1"/>
  <c r="I347" i="2"/>
  <c r="H347" i="2"/>
  <c r="K347" i="2" s="1"/>
  <c r="H346" i="2"/>
  <c r="K346" i="2" s="1"/>
  <c r="I345" i="2"/>
  <c r="H345" i="2"/>
  <c r="K345" i="2" s="1"/>
  <c r="I384" i="2"/>
  <c r="H384" i="2"/>
  <c r="K384" i="2" s="1"/>
  <c r="I383" i="2"/>
  <c r="H383" i="2"/>
  <c r="K383" i="2" s="1"/>
  <c r="I382" i="2"/>
  <c r="H382" i="2"/>
  <c r="K382" i="2" s="1"/>
  <c r="I381" i="2"/>
  <c r="H381" i="2"/>
  <c r="K381" i="2" s="1"/>
  <c r="K380" i="2"/>
  <c r="I380" i="2"/>
  <c r="H380" i="2"/>
  <c r="I379" i="2"/>
  <c r="H379" i="2"/>
  <c r="K379" i="2" s="1"/>
  <c r="I378" i="2"/>
  <c r="H378" i="2"/>
  <c r="K378" i="2" s="1"/>
  <c r="I377" i="2"/>
  <c r="H377" i="2"/>
  <c r="K377" i="2" s="1"/>
  <c r="I376" i="2"/>
  <c r="H376" i="2"/>
  <c r="K376" i="2" s="1"/>
  <c r="I375" i="2"/>
  <c r="H375" i="2"/>
  <c r="K375" i="2" s="1"/>
  <c r="I374" i="2"/>
  <c r="H374" i="2"/>
  <c r="K374" i="2" s="1"/>
  <c r="I373" i="2"/>
  <c r="H373" i="2"/>
  <c r="K373" i="2" s="1"/>
  <c r="K372" i="2"/>
  <c r="I372" i="2"/>
  <c r="H372" i="2"/>
  <c r="I371" i="2"/>
  <c r="H371" i="2"/>
  <c r="K371" i="2" s="1"/>
  <c r="I370" i="2"/>
  <c r="H370" i="2"/>
  <c r="K370" i="2" s="1"/>
  <c r="I369" i="2"/>
  <c r="H369" i="2"/>
  <c r="K369" i="2" s="1"/>
  <c r="H368" i="2"/>
  <c r="K368" i="2" s="1"/>
  <c r="H367" i="2"/>
  <c r="K367" i="2" s="1"/>
  <c r="H366" i="2"/>
  <c r="K366" i="2" s="1"/>
  <c r="I365" i="2"/>
  <c r="H365" i="2"/>
  <c r="K365" i="2" s="1"/>
  <c r="I404" i="2"/>
  <c r="H404" i="2"/>
  <c r="K404" i="2" s="1"/>
  <c r="I403" i="2"/>
  <c r="H403" i="2"/>
  <c r="K403" i="2" s="1"/>
  <c r="I402" i="2"/>
  <c r="H402" i="2"/>
  <c r="K402" i="2" s="1"/>
  <c r="I401" i="2"/>
  <c r="H401" i="2"/>
  <c r="K401" i="2" s="1"/>
  <c r="I400" i="2"/>
  <c r="H400" i="2"/>
  <c r="K400" i="2" s="1"/>
  <c r="I399" i="2"/>
  <c r="H399" i="2"/>
  <c r="K399" i="2" s="1"/>
  <c r="I398" i="2"/>
  <c r="H398" i="2"/>
  <c r="K398" i="2" s="1"/>
  <c r="I397" i="2"/>
  <c r="H397" i="2"/>
  <c r="K397" i="2" s="1"/>
  <c r="I396" i="2"/>
  <c r="H396" i="2"/>
  <c r="K396" i="2" s="1"/>
  <c r="I395" i="2"/>
  <c r="H395" i="2"/>
  <c r="K395" i="2" s="1"/>
  <c r="I394" i="2"/>
  <c r="H394" i="2"/>
  <c r="K394" i="2" s="1"/>
  <c r="I393" i="2"/>
  <c r="H393" i="2"/>
  <c r="K393" i="2" s="1"/>
  <c r="I392" i="2"/>
  <c r="H392" i="2"/>
  <c r="K392" i="2" s="1"/>
  <c r="I391" i="2"/>
  <c r="H391" i="2"/>
  <c r="K391" i="2" s="1"/>
  <c r="I390" i="2"/>
  <c r="H390" i="2"/>
  <c r="K390" i="2" s="1"/>
  <c r="I389" i="2"/>
  <c r="H389" i="2"/>
  <c r="K389" i="2" s="1"/>
  <c r="I388" i="2"/>
  <c r="H388" i="2"/>
  <c r="K388" i="2" s="1"/>
  <c r="I387" i="2"/>
  <c r="H387" i="2"/>
  <c r="K387" i="2" s="1"/>
  <c r="I386" i="2"/>
  <c r="H386" i="2"/>
  <c r="K386" i="2" s="1"/>
  <c r="I385" i="2"/>
  <c r="H385" i="2"/>
  <c r="K385" i="2" s="1"/>
  <c r="I414" i="2"/>
  <c r="H414" i="2"/>
  <c r="K414" i="2" s="1"/>
  <c r="I413" i="2"/>
  <c r="H413" i="2"/>
  <c r="K413" i="2" s="1"/>
  <c r="I412" i="2"/>
  <c r="H412" i="2"/>
  <c r="K412" i="2" s="1"/>
  <c r="I411" i="2"/>
  <c r="H411" i="2"/>
  <c r="K411" i="2" s="1"/>
  <c r="I410" i="2"/>
  <c r="H410" i="2"/>
  <c r="K410" i="2" s="1"/>
  <c r="I409" i="2"/>
  <c r="H409" i="2"/>
  <c r="K409" i="2" s="1"/>
  <c r="I408" i="2"/>
  <c r="H408" i="2"/>
  <c r="K408" i="2" s="1"/>
  <c r="I407" i="2"/>
  <c r="H407" i="2"/>
  <c r="K407" i="2" s="1"/>
  <c r="I406" i="2"/>
  <c r="H406" i="2"/>
  <c r="K406" i="2" s="1"/>
  <c r="I405" i="2"/>
  <c r="H405" i="2"/>
  <c r="K405" i="2" s="1"/>
  <c r="I419" i="2"/>
  <c r="H419" i="2"/>
  <c r="K419" i="2" s="1"/>
  <c r="I418" i="2"/>
  <c r="H418" i="2"/>
  <c r="K418" i="2" s="1"/>
  <c r="I417" i="2"/>
  <c r="H417" i="2"/>
  <c r="K417" i="2" s="1"/>
  <c r="I416" i="2"/>
  <c r="H416" i="2"/>
  <c r="K416" i="2" s="1"/>
  <c r="I415" i="2"/>
  <c r="H415" i="2"/>
  <c r="K415" i="2" s="1"/>
  <c r="I324" i="2"/>
  <c r="H324" i="2"/>
  <c r="K324" i="2" s="1"/>
  <c r="I281" i="2" l="1"/>
  <c r="H281" i="2"/>
  <c r="K281" i="2" s="1"/>
  <c r="I280" i="2"/>
  <c r="H280" i="2"/>
  <c r="K280" i="2" s="1"/>
  <c r="H279" i="2"/>
  <c r="K279" i="2" s="1"/>
  <c r="I278" i="2"/>
  <c r="H278" i="2"/>
  <c r="K278" i="2" s="1"/>
  <c r="I277" i="2"/>
  <c r="H277" i="2"/>
  <c r="K277" i="2" s="1"/>
  <c r="I276" i="2"/>
  <c r="H276" i="2"/>
  <c r="K276" i="2" s="1"/>
  <c r="I275" i="2"/>
  <c r="H275" i="2"/>
  <c r="K275" i="2" s="1"/>
  <c r="I274" i="2"/>
  <c r="H274" i="2"/>
  <c r="K274" i="2" s="1"/>
  <c r="I273" i="2"/>
  <c r="H273" i="2"/>
  <c r="K273" i="2" s="1"/>
  <c r="I270" i="2"/>
  <c r="H270" i="2"/>
  <c r="K270" i="2" s="1"/>
  <c r="I269" i="2"/>
  <c r="H269" i="2"/>
  <c r="K269" i="2" s="1"/>
  <c r="I268" i="2"/>
  <c r="H268" i="2"/>
  <c r="K268" i="2" s="1"/>
  <c r="I267" i="2"/>
  <c r="H267" i="2"/>
  <c r="K267" i="2" s="1"/>
  <c r="I266" i="2"/>
  <c r="H266" i="2"/>
  <c r="K266" i="2" s="1"/>
  <c r="I265" i="2"/>
  <c r="H265" i="2"/>
  <c r="K265" i="2" s="1"/>
  <c r="I264" i="2"/>
  <c r="H264" i="2"/>
  <c r="K264" i="2" s="1"/>
  <c r="I263" i="2"/>
  <c r="H263" i="2"/>
  <c r="K263" i="2" s="1"/>
  <c r="I262" i="2"/>
  <c r="H262" i="2"/>
  <c r="K262" i="2" s="1"/>
  <c r="I261" i="2"/>
  <c r="H261" i="2"/>
  <c r="K261" i="2" s="1"/>
  <c r="I260" i="2"/>
  <c r="H260" i="2"/>
  <c r="K260" i="2" s="1"/>
  <c r="I259" i="2"/>
  <c r="H259" i="2"/>
  <c r="K259" i="2" s="1"/>
  <c r="I258" i="2"/>
  <c r="H258" i="2"/>
  <c r="K258" i="2" s="1"/>
  <c r="I257" i="2"/>
  <c r="H257" i="2"/>
  <c r="K257" i="2" s="1"/>
  <c r="I256" i="2"/>
  <c r="H256" i="2"/>
  <c r="K256" i="2" s="1"/>
  <c r="I255" i="2"/>
  <c r="H255" i="2"/>
  <c r="K255" i="2" s="1"/>
  <c r="H254" i="2"/>
  <c r="K254" i="2" s="1"/>
  <c r="I253" i="2"/>
  <c r="H253" i="2"/>
  <c r="K253" i="2" s="1"/>
  <c r="I252" i="2"/>
  <c r="H252" i="2"/>
  <c r="K252" i="2" s="1"/>
  <c r="I251" i="2"/>
  <c r="H251" i="2"/>
  <c r="K251" i="2" s="1"/>
  <c r="I250" i="2"/>
  <c r="H250" i="2"/>
  <c r="K250" i="2" s="1"/>
  <c r="I249" i="2"/>
  <c r="H249" i="2"/>
  <c r="K249" i="2" s="1"/>
  <c r="I248" i="2"/>
  <c r="H248" i="2"/>
  <c r="K248" i="2" s="1"/>
  <c r="I247" i="2"/>
  <c r="H247" i="2"/>
  <c r="K247" i="2" s="1"/>
  <c r="I246" i="2"/>
  <c r="H246" i="2"/>
  <c r="K246" i="2" s="1"/>
  <c r="I245" i="2"/>
  <c r="H245" i="2"/>
  <c r="K245" i="2" s="1"/>
  <c r="I244" i="2"/>
  <c r="H244" i="2"/>
  <c r="K244" i="2" s="1"/>
  <c r="I243" i="2"/>
  <c r="H243" i="2"/>
  <c r="K243" i="2" s="1"/>
  <c r="H242" i="2"/>
  <c r="K242" i="2" s="1"/>
  <c r="I241" i="2"/>
  <c r="H241" i="2"/>
  <c r="K241" i="2" s="1"/>
  <c r="I240" i="2"/>
  <c r="H240" i="2"/>
  <c r="K240" i="2" s="1"/>
  <c r="I239" i="2"/>
  <c r="H239" i="2"/>
  <c r="K239" i="2" s="1"/>
  <c r="I238" i="2"/>
  <c r="H238" i="2"/>
  <c r="K238" i="2" s="1"/>
  <c r="I237" i="2"/>
  <c r="H237" i="2"/>
  <c r="K237" i="2" s="1"/>
  <c r="I236" i="2"/>
  <c r="H236" i="2"/>
  <c r="K236" i="2" s="1"/>
  <c r="I235" i="2"/>
  <c r="H235" i="2"/>
  <c r="K235" i="2" s="1"/>
  <c r="H234" i="2"/>
  <c r="K234" i="2" s="1"/>
  <c r="I233" i="2"/>
  <c r="H233" i="2"/>
  <c r="K233" i="2" s="1"/>
  <c r="I232" i="2"/>
  <c r="H232" i="2"/>
  <c r="K232" i="2" s="1"/>
  <c r="I231" i="2"/>
  <c r="H231" i="2"/>
  <c r="K231" i="2" s="1"/>
  <c r="I230" i="2"/>
  <c r="H230" i="2"/>
  <c r="K230" i="2" s="1"/>
  <c r="J428" i="2"/>
  <c r="J429" i="2" s="1"/>
  <c r="G428" i="2"/>
  <c r="G429" i="2" s="1"/>
  <c r="F428" i="2"/>
  <c r="F429" i="2" s="1"/>
  <c r="I426" i="2"/>
  <c r="H426" i="2"/>
  <c r="K426" i="2" s="1"/>
  <c r="I425" i="2"/>
  <c r="H425" i="2"/>
  <c r="K425" i="2" s="1"/>
  <c r="I424" i="2"/>
  <c r="H424" i="2"/>
  <c r="K424" i="2" s="1"/>
  <c r="I423" i="2"/>
  <c r="H423" i="2"/>
  <c r="K423" i="2" s="1"/>
  <c r="I422" i="2"/>
  <c r="H422" i="2"/>
  <c r="K422" i="2" s="1"/>
  <c r="I421" i="2"/>
  <c r="H421" i="2"/>
  <c r="K421" i="2" s="1"/>
  <c r="I420" i="2"/>
  <c r="H420" i="2"/>
  <c r="K420" i="2" s="1"/>
  <c r="H323" i="2"/>
  <c r="K323" i="2" s="1"/>
  <c r="I322" i="2"/>
  <c r="H322" i="2"/>
  <c r="K322" i="2" s="1"/>
  <c r="I321" i="2"/>
  <c r="H321" i="2"/>
  <c r="K321" i="2" s="1"/>
  <c r="I320" i="2"/>
  <c r="H320" i="2"/>
  <c r="K320" i="2" s="1"/>
  <c r="I319" i="2"/>
  <c r="H319" i="2"/>
  <c r="K319" i="2" s="1"/>
  <c r="I318" i="2"/>
  <c r="H318" i="2"/>
  <c r="K318" i="2" s="1"/>
  <c r="I317" i="2"/>
  <c r="H317" i="2"/>
  <c r="K317" i="2" s="1"/>
  <c r="I316" i="2"/>
  <c r="H316" i="2"/>
  <c r="K316" i="2" s="1"/>
  <c r="I315" i="2"/>
  <c r="H315" i="2"/>
  <c r="K315" i="2" s="1"/>
  <c r="I314" i="2"/>
  <c r="H314" i="2"/>
  <c r="K314" i="2" s="1"/>
  <c r="H313" i="2"/>
  <c r="K313" i="2" s="1"/>
  <c r="I312" i="2"/>
  <c r="H312" i="2"/>
  <c r="K312" i="2" s="1"/>
  <c r="I311" i="2"/>
  <c r="H311" i="2"/>
  <c r="K311" i="2" s="1"/>
  <c r="I310" i="2"/>
  <c r="H310" i="2"/>
  <c r="K310" i="2" s="1"/>
  <c r="I309" i="2"/>
  <c r="H309" i="2"/>
  <c r="K309" i="2" s="1"/>
  <c r="I308" i="2"/>
  <c r="H308" i="2"/>
  <c r="K308" i="2" s="1"/>
  <c r="I307" i="2"/>
  <c r="H307" i="2"/>
  <c r="K307" i="2" s="1"/>
  <c r="H306" i="2"/>
  <c r="K306" i="2" s="1"/>
  <c r="I305" i="2"/>
  <c r="H305" i="2"/>
  <c r="K305" i="2" s="1"/>
  <c r="I304" i="2"/>
  <c r="H304" i="2"/>
  <c r="K304" i="2" s="1"/>
  <c r="I303" i="2"/>
  <c r="H303" i="2"/>
  <c r="K303" i="2" s="1"/>
  <c r="I302" i="2"/>
  <c r="H302" i="2"/>
  <c r="K302" i="2" s="1"/>
  <c r="I301" i="2"/>
  <c r="H301" i="2"/>
  <c r="K301" i="2" s="1"/>
  <c r="I300" i="2"/>
  <c r="H300" i="2"/>
  <c r="K300" i="2" s="1"/>
  <c r="I299" i="2"/>
  <c r="H299" i="2"/>
  <c r="K299" i="2" s="1"/>
  <c r="H298" i="2"/>
  <c r="K298" i="2" s="1"/>
  <c r="H297" i="2"/>
  <c r="K297" i="2" s="1"/>
  <c r="I296" i="2"/>
  <c r="H296" i="2"/>
  <c r="K296" i="2" s="1"/>
  <c r="I295" i="2"/>
  <c r="H295" i="2"/>
  <c r="K295" i="2" s="1"/>
  <c r="H294" i="2"/>
  <c r="K294" i="2" s="1"/>
  <c r="I293" i="2"/>
  <c r="H293" i="2"/>
  <c r="K293" i="2" s="1"/>
  <c r="I292" i="2"/>
  <c r="H292" i="2"/>
  <c r="K292" i="2" s="1"/>
  <c r="H291" i="2"/>
  <c r="K291" i="2" s="1"/>
  <c r="H290" i="2"/>
  <c r="K290" i="2" s="1"/>
  <c r="H289" i="2"/>
  <c r="K289" i="2" s="1"/>
  <c r="I288" i="2"/>
  <c r="H288" i="2"/>
  <c r="K288" i="2" s="1"/>
  <c r="I287" i="2"/>
  <c r="H287" i="2"/>
  <c r="K287" i="2" s="1"/>
  <c r="I286" i="2"/>
  <c r="H286" i="2"/>
  <c r="K286" i="2" s="1"/>
  <c r="I285" i="2"/>
  <c r="H285" i="2"/>
  <c r="K285" i="2" s="1"/>
  <c r="I284" i="2"/>
  <c r="H284" i="2"/>
  <c r="K284" i="2" s="1"/>
  <c r="I283" i="2"/>
  <c r="H283" i="2"/>
  <c r="K283" i="2" s="1"/>
  <c r="I282" i="2"/>
  <c r="H282" i="2"/>
  <c r="K282" i="2" s="1"/>
  <c r="I272" i="2"/>
  <c r="H272" i="2"/>
  <c r="K272" i="2" s="1"/>
  <c r="I271" i="2"/>
  <c r="H271" i="2"/>
  <c r="K271" i="2" s="1"/>
  <c r="I229" i="2"/>
  <c r="H229" i="2"/>
  <c r="K229" i="2" s="1"/>
  <c r="I219" i="2"/>
  <c r="H219" i="2"/>
  <c r="K219" i="2" s="1"/>
  <c r="I218" i="2"/>
  <c r="H218" i="2"/>
  <c r="K218" i="2" s="1"/>
  <c r="I217" i="2"/>
  <c r="H217" i="2"/>
  <c r="K217" i="2" s="1"/>
  <c r="I216" i="2"/>
  <c r="H216" i="2"/>
  <c r="K216" i="2" s="1"/>
  <c r="H215" i="2"/>
  <c r="K215" i="2" s="1"/>
  <c r="H214" i="2"/>
  <c r="K214" i="2" s="1"/>
  <c r="I213" i="2"/>
  <c r="H213" i="2"/>
  <c r="K213" i="2" s="1"/>
  <c r="I212" i="2"/>
  <c r="H212" i="2"/>
  <c r="K212" i="2" s="1"/>
  <c r="I211" i="2"/>
  <c r="H211" i="2"/>
  <c r="K211" i="2" s="1"/>
  <c r="I210" i="2"/>
  <c r="H210" i="2"/>
  <c r="K210" i="2" s="1"/>
  <c r="I209" i="2"/>
  <c r="H209" i="2"/>
  <c r="K209" i="2" s="1"/>
  <c r="I208" i="2"/>
  <c r="H208" i="2"/>
  <c r="K208" i="2" s="1"/>
  <c r="I207" i="2"/>
  <c r="H207" i="2"/>
  <c r="K207" i="2" s="1"/>
  <c r="I206" i="2"/>
  <c r="H206" i="2"/>
  <c r="K206" i="2" s="1"/>
  <c r="I205" i="2"/>
  <c r="H205" i="2"/>
  <c r="K205" i="2" s="1"/>
  <c r="I204" i="2"/>
  <c r="H204" i="2"/>
  <c r="K204" i="2" s="1"/>
  <c r="I203" i="2"/>
  <c r="H203" i="2"/>
  <c r="K203" i="2" s="1"/>
  <c r="I202" i="2"/>
  <c r="H202" i="2"/>
  <c r="K202" i="2" s="1"/>
  <c r="I201" i="2"/>
  <c r="H201" i="2"/>
  <c r="K201" i="2" s="1"/>
  <c r="I200" i="2"/>
  <c r="H200" i="2"/>
  <c r="K200" i="2" s="1"/>
  <c r="I199" i="2"/>
  <c r="H199" i="2"/>
  <c r="K199" i="2" s="1"/>
  <c r="H198" i="2"/>
  <c r="K198" i="2" s="1"/>
  <c r="H197" i="2"/>
  <c r="K197" i="2" s="1"/>
  <c r="I196" i="2"/>
  <c r="H196" i="2"/>
  <c r="K196" i="2" s="1"/>
  <c r="I195" i="2"/>
  <c r="H195" i="2"/>
  <c r="K195" i="2" s="1"/>
  <c r="H194" i="2"/>
  <c r="K194" i="2" s="1"/>
  <c r="I193" i="2"/>
  <c r="H193" i="2"/>
  <c r="K193" i="2" s="1"/>
  <c r="H192" i="2"/>
  <c r="K192" i="2" s="1"/>
  <c r="I191" i="2"/>
  <c r="H191" i="2"/>
  <c r="K191" i="2" s="1"/>
  <c r="I190" i="2"/>
  <c r="H190" i="2"/>
  <c r="K190" i="2" s="1"/>
  <c r="I189" i="2"/>
  <c r="H189" i="2"/>
  <c r="K189" i="2" s="1"/>
  <c r="I188" i="2"/>
  <c r="H188" i="2"/>
  <c r="K188" i="2" s="1"/>
  <c r="I187" i="2"/>
  <c r="H187" i="2"/>
  <c r="K187" i="2" s="1"/>
  <c r="I186" i="2"/>
  <c r="H186" i="2"/>
  <c r="K186" i="2" s="1"/>
  <c r="I185" i="2"/>
  <c r="H185" i="2"/>
  <c r="K185" i="2" s="1"/>
  <c r="I184" i="2"/>
  <c r="H184" i="2"/>
  <c r="K184" i="2" s="1"/>
  <c r="I183" i="2"/>
  <c r="H183" i="2"/>
  <c r="K183" i="2" s="1"/>
  <c r="I182" i="2"/>
  <c r="H182" i="2"/>
  <c r="K182" i="2" s="1"/>
  <c r="I181" i="2"/>
  <c r="H181" i="2"/>
  <c r="K181" i="2" s="1"/>
  <c r="H180" i="2"/>
  <c r="K180" i="2" s="1"/>
  <c r="I179" i="2"/>
  <c r="H179" i="2"/>
  <c r="K179" i="2" s="1"/>
  <c r="I178" i="2"/>
  <c r="H178" i="2"/>
  <c r="K178" i="2" s="1"/>
  <c r="I177" i="2"/>
  <c r="H177" i="2"/>
  <c r="K177" i="2" s="1"/>
  <c r="I176" i="2"/>
  <c r="H176" i="2"/>
  <c r="K176" i="2" s="1"/>
  <c r="H175" i="2"/>
  <c r="K175" i="2" s="1"/>
  <c r="I174" i="2"/>
  <c r="H174" i="2"/>
  <c r="K174" i="2" s="1"/>
  <c r="I173" i="2"/>
  <c r="H173" i="2"/>
  <c r="K173" i="2" s="1"/>
  <c r="I172" i="2"/>
  <c r="H172" i="2"/>
  <c r="K172" i="2" s="1"/>
  <c r="I171" i="2"/>
  <c r="H171" i="2"/>
  <c r="K171" i="2" s="1"/>
  <c r="I170" i="2"/>
  <c r="H170" i="2"/>
  <c r="K170" i="2" s="1"/>
  <c r="I169" i="2"/>
  <c r="H169" i="2"/>
  <c r="K169" i="2" s="1"/>
  <c r="I168" i="2"/>
  <c r="H168" i="2"/>
  <c r="K168" i="2" s="1"/>
  <c r="I167" i="2"/>
  <c r="H167" i="2"/>
  <c r="K167" i="2" s="1"/>
  <c r="I166" i="2"/>
  <c r="H166" i="2"/>
  <c r="K166" i="2" s="1"/>
  <c r="I165" i="2"/>
  <c r="H165" i="2"/>
  <c r="K165" i="2" s="1"/>
  <c r="I164" i="2"/>
  <c r="H164" i="2"/>
  <c r="K164" i="2" s="1"/>
  <c r="I163" i="2"/>
  <c r="H163" i="2"/>
  <c r="K163" i="2" s="1"/>
  <c r="I162" i="2"/>
  <c r="H162" i="2"/>
  <c r="K162" i="2" s="1"/>
  <c r="I161" i="2"/>
  <c r="H161" i="2"/>
  <c r="K161" i="2" s="1"/>
  <c r="I160" i="2"/>
  <c r="H160" i="2"/>
  <c r="K160" i="2" s="1"/>
  <c r="I159" i="2"/>
  <c r="H159" i="2"/>
  <c r="K159" i="2" s="1"/>
  <c r="I158" i="2"/>
  <c r="H158" i="2"/>
  <c r="K158" i="2" s="1"/>
  <c r="I157" i="2"/>
  <c r="H157" i="2"/>
  <c r="K157" i="2" s="1"/>
  <c r="I156" i="2"/>
  <c r="H156" i="2"/>
  <c r="K156" i="2" s="1"/>
  <c r="I155" i="2"/>
  <c r="H155" i="2"/>
  <c r="K155" i="2" s="1"/>
  <c r="I154" i="2"/>
  <c r="H154" i="2"/>
  <c r="K154" i="2" s="1"/>
  <c r="I153" i="2"/>
  <c r="H153" i="2"/>
  <c r="K153" i="2" s="1"/>
  <c r="I152" i="2"/>
  <c r="H152" i="2"/>
  <c r="K152" i="2" s="1"/>
  <c r="I151" i="2"/>
  <c r="H151" i="2"/>
  <c r="K151" i="2" s="1"/>
  <c r="I150" i="2"/>
  <c r="H150" i="2"/>
  <c r="K150" i="2" s="1"/>
  <c r="I149" i="2"/>
  <c r="H149" i="2"/>
  <c r="K149" i="2" s="1"/>
  <c r="I148" i="2"/>
  <c r="H148" i="2"/>
  <c r="K148" i="2" s="1"/>
  <c r="I147" i="2"/>
  <c r="H147" i="2"/>
  <c r="K147" i="2" s="1"/>
  <c r="I146" i="2"/>
  <c r="H146" i="2"/>
  <c r="K146" i="2" s="1"/>
  <c r="I145" i="2"/>
  <c r="H145" i="2"/>
  <c r="K145" i="2" s="1"/>
  <c r="I144" i="2"/>
  <c r="H144" i="2"/>
  <c r="K144" i="2" s="1"/>
  <c r="I143" i="2"/>
  <c r="H143" i="2"/>
  <c r="K143" i="2" s="1"/>
  <c r="I142" i="2"/>
  <c r="H142" i="2"/>
  <c r="K142" i="2" s="1"/>
  <c r="I141" i="2"/>
  <c r="H141" i="2"/>
  <c r="K141" i="2" s="1"/>
  <c r="I140" i="2"/>
  <c r="H140" i="2"/>
  <c r="K140" i="2" s="1"/>
  <c r="I139" i="2"/>
  <c r="H139" i="2"/>
  <c r="K139" i="2" s="1"/>
  <c r="I138" i="2"/>
  <c r="H138" i="2"/>
  <c r="K138" i="2" s="1"/>
  <c r="I137" i="2"/>
  <c r="H137" i="2"/>
  <c r="K137" i="2" s="1"/>
  <c r="I136" i="2"/>
  <c r="H136" i="2"/>
  <c r="K136" i="2" s="1"/>
  <c r="I135" i="2"/>
  <c r="H135" i="2"/>
  <c r="K135" i="2" s="1"/>
  <c r="H134" i="2"/>
  <c r="K134" i="2" s="1"/>
  <c r="I133" i="2"/>
  <c r="H133" i="2"/>
  <c r="K133" i="2" s="1"/>
  <c r="I132" i="2"/>
  <c r="H132" i="2"/>
  <c r="K132" i="2" s="1"/>
  <c r="I131" i="2"/>
  <c r="H131" i="2"/>
  <c r="K131" i="2" s="1"/>
  <c r="I130" i="2"/>
  <c r="H130" i="2"/>
  <c r="K130" i="2" s="1"/>
  <c r="I129" i="2"/>
  <c r="H129" i="2"/>
  <c r="K129" i="2" s="1"/>
  <c r="I128" i="2"/>
  <c r="H128" i="2"/>
  <c r="K128" i="2" s="1"/>
  <c r="I127" i="2"/>
  <c r="H127" i="2"/>
  <c r="K127" i="2" s="1"/>
  <c r="I126" i="2"/>
  <c r="H126" i="2"/>
  <c r="K126" i="2" s="1"/>
  <c r="I125" i="2"/>
  <c r="H125" i="2"/>
  <c r="K125" i="2" s="1"/>
  <c r="I124" i="2"/>
  <c r="H124" i="2"/>
  <c r="K124" i="2" s="1"/>
  <c r="I123" i="2"/>
  <c r="H123" i="2"/>
  <c r="K123" i="2" s="1"/>
  <c r="I122" i="2"/>
  <c r="H122" i="2"/>
  <c r="K122" i="2" s="1"/>
  <c r="I121" i="2"/>
  <c r="H121" i="2"/>
  <c r="K121" i="2" s="1"/>
  <c r="I120" i="2"/>
  <c r="H120" i="2"/>
  <c r="K120" i="2" s="1"/>
  <c r="I119" i="2"/>
  <c r="H119" i="2"/>
  <c r="K119" i="2" s="1"/>
  <c r="I118" i="2"/>
  <c r="H118" i="2"/>
  <c r="K118" i="2" s="1"/>
  <c r="I117" i="2"/>
  <c r="H117" i="2"/>
  <c r="K117" i="2" s="1"/>
  <c r="I116" i="2"/>
  <c r="H116" i="2"/>
  <c r="K116" i="2" s="1"/>
  <c r="I115" i="2"/>
  <c r="H115" i="2"/>
  <c r="K115" i="2" s="1"/>
  <c r="I114" i="2"/>
  <c r="H114" i="2"/>
  <c r="K114" i="2" s="1"/>
  <c r="I113" i="2"/>
  <c r="H113" i="2"/>
  <c r="K113" i="2" s="1"/>
  <c r="I112" i="2"/>
  <c r="H112" i="2"/>
  <c r="K112" i="2" s="1"/>
  <c r="H111" i="2"/>
  <c r="K111" i="2" s="1"/>
  <c r="I110" i="2"/>
  <c r="H110" i="2"/>
  <c r="K110" i="2" s="1"/>
  <c r="I109" i="2"/>
  <c r="H109" i="2"/>
  <c r="K109" i="2" s="1"/>
  <c r="H108" i="2"/>
  <c r="K108" i="2" s="1"/>
  <c r="H107" i="2"/>
  <c r="K107" i="2" s="1"/>
  <c r="I106" i="2"/>
  <c r="H106" i="2"/>
  <c r="K106" i="2" s="1"/>
  <c r="I105" i="2"/>
  <c r="H105" i="2"/>
  <c r="K105" i="2" s="1"/>
  <c r="I104" i="2"/>
  <c r="H104" i="2"/>
  <c r="K104" i="2" s="1"/>
  <c r="H103" i="2"/>
  <c r="K103" i="2" s="1"/>
  <c r="I102" i="2"/>
  <c r="H102" i="2"/>
  <c r="K102" i="2" s="1"/>
  <c r="I101" i="2"/>
  <c r="H101" i="2"/>
  <c r="K101" i="2" s="1"/>
  <c r="I100" i="2"/>
  <c r="H100" i="2"/>
  <c r="K100" i="2" s="1"/>
  <c r="I99" i="2"/>
  <c r="H99" i="2"/>
  <c r="K99" i="2" s="1"/>
  <c r="I98" i="2"/>
  <c r="H98" i="2"/>
  <c r="K98" i="2" s="1"/>
  <c r="H97" i="2"/>
  <c r="K97" i="2" s="1"/>
  <c r="I96" i="2"/>
  <c r="H96" i="2"/>
  <c r="K96" i="2" s="1"/>
  <c r="H95" i="2"/>
  <c r="K95" i="2" s="1"/>
  <c r="I94" i="2"/>
  <c r="H94" i="2"/>
  <c r="K94" i="2" s="1"/>
  <c r="I93" i="2"/>
  <c r="H93" i="2"/>
  <c r="K93" i="2" s="1"/>
  <c r="I92" i="2"/>
  <c r="H92" i="2"/>
  <c r="K92" i="2" s="1"/>
  <c r="I91" i="2"/>
  <c r="H91" i="2"/>
  <c r="K91" i="2" s="1"/>
  <c r="I90" i="2"/>
  <c r="H90" i="2"/>
  <c r="K90" i="2" s="1"/>
  <c r="I89" i="2"/>
  <c r="H89" i="2"/>
  <c r="K89" i="2" s="1"/>
  <c r="H88" i="2"/>
  <c r="K88" i="2" s="1"/>
  <c r="I87" i="2"/>
  <c r="H87" i="2"/>
  <c r="K87" i="2" s="1"/>
  <c r="I86" i="2"/>
  <c r="H86" i="2"/>
  <c r="K86" i="2" s="1"/>
  <c r="H85" i="2"/>
  <c r="K85" i="2" s="1"/>
  <c r="H84" i="2"/>
  <c r="K84" i="2" s="1"/>
  <c r="H83" i="2"/>
  <c r="K83" i="2" s="1"/>
  <c r="I82" i="2"/>
  <c r="H82" i="2"/>
  <c r="K82" i="2" s="1"/>
  <c r="I81" i="2"/>
  <c r="H81" i="2"/>
  <c r="K81" i="2" s="1"/>
  <c r="I80" i="2"/>
  <c r="H80" i="2"/>
  <c r="K80" i="2" s="1"/>
  <c r="I79" i="2"/>
  <c r="H79" i="2"/>
  <c r="K79" i="2" s="1"/>
  <c r="I78" i="2"/>
  <c r="H78" i="2"/>
  <c r="K78" i="2" s="1"/>
  <c r="H77" i="2"/>
  <c r="K77" i="2" s="1"/>
  <c r="I76" i="2"/>
  <c r="H76" i="2"/>
  <c r="K76" i="2" s="1"/>
  <c r="H75" i="2"/>
  <c r="K75" i="2" s="1"/>
  <c r="I74" i="2"/>
  <c r="H74" i="2"/>
  <c r="K74" i="2" s="1"/>
  <c r="H73" i="2"/>
  <c r="K73" i="2" s="1"/>
  <c r="H72" i="2"/>
  <c r="K72" i="2" s="1"/>
  <c r="I71" i="2"/>
  <c r="H71" i="2"/>
  <c r="K71" i="2" s="1"/>
  <c r="H70" i="2"/>
  <c r="K70" i="2" s="1"/>
  <c r="I69" i="2"/>
  <c r="H69" i="2"/>
  <c r="K69" i="2" s="1"/>
  <c r="H68" i="2"/>
  <c r="K68" i="2" s="1"/>
  <c r="H67" i="2"/>
  <c r="K67" i="2" s="1"/>
  <c r="I66" i="2"/>
  <c r="H66" i="2"/>
  <c r="K66" i="2" s="1"/>
  <c r="I65" i="2"/>
  <c r="H65" i="2"/>
  <c r="K65" i="2" s="1"/>
  <c r="H64" i="2"/>
  <c r="K64" i="2" s="1"/>
  <c r="I63" i="2"/>
  <c r="H63" i="2"/>
  <c r="K63" i="2" s="1"/>
  <c r="I62" i="2"/>
  <c r="H62" i="2"/>
  <c r="K62" i="2" s="1"/>
  <c r="I61" i="2"/>
  <c r="H61" i="2"/>
  <c r="K61" i="2" s="1"/>
  <c r="I60" i="2"/>
  <c r="H60" i="2"/>
  <c r="K60" i="2" s="1"/>
  <c r="I59" i="2"/>
  <c r="H59" i="2"/>
  <c r="K59" i="2" s="1"/>
  <c r="H58" i="2"/>
  <c r="K58" i="2" s="1"/>
  <c r="I57" i="2"/>
  <c r="H57" i="2"/>
  <c r="K57" i="2" s="1"/>
  <c r="I56" i="2"/>
  <c r="H56" i="2"/>
  <c r="K56" i="2" s="1"/>
  <c r="H55" i="2"/>
  <c r="K55" i="2" s="1"/>
  <c r="I54" i="2"/>
  <c r="H54" i="2"/>
  <c r="K54" i="2" s="1"/>
  <c r="I53" i="2"/>
  <c r="H53" i="2"/>
  <c r="K53" i="2" s="1"/>
  <c r="I52" i="2"/>
  <c r="H52" i="2"/>
  <c r="K52" i="2" s="1"/>
  <c r="I51" i="2"/>
  <c r="H51" i="2"/>
  <c r="K51" i="2" s="1"/>
  <c r="I50" i="2"/>
  <c r="H50" i="2"/>
  <c r="K50" i="2" s="1"/>
  <c r="I49" i="2"/>
  <c r="H49" i="2"/>
  <c r="K49" i="2" s="1"/>
  <c r="I48" i="2"/>
  <c r="H48" i="2"/>
  <c r="K48" i="2" s="1"/>
  <c r="I47" i="2"/>
  <c r="H47" i="2"/>
  <c r="K47" i="2" s="1"/>
  <c r="I46" i="2"/>
  <c r="H46" i="2"/>
  <c r="K46" i="2" s="1"/>
  <c r="I45" i="2"/>
  <c r="H45" i="2"/>
  <c r="K45" i="2" s="1"/>
  <c r="I44" i="2"/>
  <c r="H44" i="2"/>
  <c r="K44" i="2" s="1"/>
  <c r="I43" i="2"/>
  <c r="H43" i="2"/>
  <c r="K43" i="2" s="1"/>
  <c r="I42" i="2"/>
  <c r="H42" i="2"/>
  <c r="K42" i="2" s="1"/>
  <c r="I41" i="2"/>
  <c r="H41" i="2"/>
  <c r="K41" i="2" s="1"/>
  <c r="I40" i="2"/>
  <c r="H40" i="2"/>
  <c r="K40" i="2" s="1"/>
  <c r="I39" i="2"/>
  <c r="H39" i="2"/>
  <c r="K39" i="2" s="1"/>
  <c r="I38" i="2"/>
  <c r="H38" i="2"/>
  <c r="K38" i="2" s="1"/>
  <c r="H37" i="2"/>
  <c r="K37" i="2" s="1"/>
  <c r="I36" i="2"/>
  <c r="H36" i="2"/>
  <c r="K36" i="2" s="1"/>
  <c r="H35" i="2"/>
  <c r="K35" i="2" s="1"/>
  <c r="I34" i="2"/>
  <c r="H34" i="2"/>
  <c r="K34" i="2" s="1"/>
  <c r="H33" i="2"/>
  <c r="K33" i="2" s="1"/>
  <c r="H32" i="2"/>
  <c r="K32" i="2" s="1"/>
  <c r="I31" i="2"/>
  <c r="H31" i="2"/>
  <c r="K31" i="2" s="1"/>
  <c r="I30" i="2"/>
  <c r="H30" i="2"/>
  <c r="K30" i="2" s="1"/>
  <c r="I29" i="2"/>
  <c r="H29" i="2"/>
  <c r="K29" i="2" s="1"/>
  <c r="I28" i="2"/>
  <c r="H28" i="2"/>
  <c r="K28" i="2" s="1"/>
  <c r="I27" i="2"/>
  <c r="H27" i="2"/>
  <c r="K27" i="2" s="1"/>
  <c r="I26" i="2"/>
  <c r="H26" i="2"/>
  <c r="K26" i="2" s="1"/>
  <c r="H25" i="2"/>
  <c r="K25" i="2" s="1"/>
  <c r="I24" i="2"/>
  <c r="H24" i="2"/>
  <c r="K24" i="2" s="1"/>
  <c r="I23" i="2"/>
  <c r="H23" i="2"/>
  <c r="K23" i="2" s="1"/>
  <c r="I22" i="2"/>
  <c r="H22" i="2"/>
  <c r="K22" i="2" s="1"/>
  <c r="I21" i="2"/>
  <c r="H21" i="2"/>
  <c r="K21" i="2" s="1"/>
  <c r="I20" i="2"/>
  <c r="H20" i="2"/>
  <c r="K20" i="2" s="1"/>
  <c r="I19" i="2"/>
  <c r="H19" i="2"/>
  <c r="K19" i="2" s="1"/>
  <c r="I18" i="2"/>
  <c r="H18" i="2"/>
  <c r="K18" i="2" s="1"/>
  <c r="I17" i="2"/>
  <c r="H17" i="2"/>
  <c r="K17" i="2" s="1"/>
  <c r="I16" i="2"/>
  <c r="H16" i="2"/>
  <c r="K16" i="2" s="1"/>
  <c r="I15" i="2"/>
  <c r="H15" i="2"/>
  <c r="K15" i="2" s="1"/>
  <c r="I14" i="2"/>
  <c r="H14" i="2"/>
  <c r="K14" i="2" s="1"/>
  <c r="I13" i="2"/>
  <c r="H13" i="2"/>
  <c r="K13" i="2" s="1"/>
  <c r="I12" i="2"/>
  <c r="H12" i="2"/>
  <c r="K12" i="2" s="1"/>
  <c r="H11" i="2"/>
  <c r="K11" i="2" s="1"/>
  <c r="I10" i="2"/>
  <c r="H10" i="2"/>
  <c r="K10" i="2" s="1"/>
  <c r="H9" i="2"/>
  <c r="K9" i="2" s="1"/>
  <c r="H8" i="2"/>
  <c r="K8" i="2" s="1"/>
  <c r="H7" i="2"/>
  <c r="K7" i="2" s="1"/>
  <c r="I4" i="2"/>
  <c r="I428" i="2" l="1"/>
  <c r="I429" i="2" s="1"/>
  <c r="K428" i="2"/>
  <c r="K429" i="2" s="1"/>
  <c r="H428" i="2"/>
  <c r="H429" i="2" s="1"/>
</calcChain>
</file>

<file path=xl/sharedStrings.xml><?xml version="1.0" encoding="utf-8"?>
<sst xmlns="http://schemas.openxmlformats.org/spreadsheetml/2006/main" count="1080" uniqueCount="54">
  <si>
    <t>Bulk Record BM May-26.xlsx</t>
  </si>
  <si>
    <t>Bulk List</t>
  </si>
  <si>
    <t xml:space="preserve"> March-22</t>
  </si>
  <si>
    <t>Bulk Active Jan-25</t>
  </si>
  <si>
    <t>Light Weight</t>
  </si>
  <si>
    <t xml:space="preserve"> March -22 Gold(OPC)</t>
  </si>
  <si>
    <t>Search List</t>
  </si>
  <si>
    <t>Date Wise</t>
  </si>
  <si>
    <t>May-26</t>
  </si>
  <si>
    <t>Shun Shing Cement Industries Limited</t>
  </si>
  <si>
    <t>Shikalbaha, Chittagong</t>
  </si>
  <si>
    <r>
      <rPr>
        <sz val="11"/>
        <color theme="1"/>
        <rFont val="Calibri"/>
        <family val="2"/>
        <scheme val="minor"/>
      </rPr>
      <t>Subject: BulK Cement PCC(</t>
    </r>
    <r>
      <rPr>
        <b/>
        <sz val="11"/>
        <color theme="1"/>
        <rFont val="Calibri"/>
        <family val="2"/>
        <scheme val="minor"/>
      </rPr>
      <t>BM</t>
    </r>
    <r>
      <rPr>
        <sz val="11"/>
        <color theme="1"/>
        <rFont val="Calibri"/>
        <family val="2"/>
        <scheme val="minor"/>
      </rPr>
      <t>) Record</t>
    </r>
  </si>
  <si>
    <t>Month :</t>
  </si>
  <si>
    <t>Date</t>
  </si>
  <si>
    <t>Shift</t>
  </si>
  <si>
    <t>Bulk Carrier No.</t>
  </si>
  <si>
    <t>Bulk Type</t>
  </si>
  <si>
    <t>Qty (MT)</t>
  </si>
  <si>
    <t>Silo Weigh Bridge</t>
  </si>
  <si>
    <t>Delivery</t>
  </si>
  <si>
    <t>Actaul Difference</t>
  </si>
  <si>
    <t>Load Weight</t>
  </si>
  <si>
    <t>Net Weight</t>
  </si>
  <si>
    <t>BM</t>
  </si>
  <si>
    <t>01.05.2026</t>
  </si>
  <si>
    <t>A</t>
  </si>
  <si>
    <t>B</t>
  </si>
  <si>
    <t>C</t>
  </si>
  <si>
    <t>02.05.2026</t>
  </si>
  <si>
    <t>03.05.2026</t>
  </si>
  <si>
    <t>04.05.2026</t>
  </si>
  <si>
    <t>05.05.2026</t>
  </si>
  <si>
    <t>06.05.2026</t>
  </si>
  <si>
    <t>07.05.2026</t>
  </si>
  <si>
    <t>08.05.2026</t>
  </si>
  <si>
    <t>09.05.2026</t>
  </si>
  <si>
    <t>10.05.2026</t>
  </si>
  <si>
    <t>10.05.2027</t>
  </si>
  <si>
    <t>10.05.2028</t>
  </si>
  <si>
    <t>10.05.2029</t>
  </si>
  <si>
    <t>10.05.2030</t>
  </si>
  <si>
    <t>10.05.2031</t>
  </si>
  <si>
    <t>10.05.2032</t>
  </si>
  <si>
    <t>10.05.2033</t>
  </si>
  <si>
    <t>11.05.2026</t>
  </si>
  <si>
    <t>12.05.2026</t>
  </si>
  <si>
    <t>13.05.2026</t>
  </si>
  <si>
    <t>Total KG</t>
  </si>
  <si>
    <t>Total MT</t>
  </si>
  <si>
    <t>Gold</t>
  </si>
  <si>
    <t>14.05.2026</t>
  </si>
  <si>
    <t>15.05.2026</t>
  </si>
  <si>
    <t>16.05.2026</t>
  </si>
  <si>
    <t>17.05.2026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</si>
</sst>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mmm\-yyyy"/>
    <numFmt numFmtId="167" formatCode="0&quot;+&quot;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890133365886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46">
    <xf numFmtId="0" fontId="0" fillId="0" borderId="0" xfId="0"/>
    <xf numFmtId="49" fontId="0" fillId="0" borderId="0" xfId="0" applyNumberFormat="1"/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0" fillId="0" borderId="1" xfId="0" applyBorder="1" applyAlignment="1">
      <alignment horizontal="centerContinuous" vertical="center"/>
    </xf>
    <xf numFmtId="166" fontId="0" fillId="0" borderId="0" xfId="0" applyNumberFormat="1"/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167" fontId="0" fillId="0" borderId="4" xfId="0" applyNumberFormat="1" applyBorder="1" applyAlignment="1">
      <alignment horizontal="center" vertical="center"/>
    </xf>
    <xf numFmtId="0" fontId="0" fillId="0" borderId="4" xfId="0" applyBorder="1"/>
    <xf numFmtId="0" fontId="1" fillId="0" borderId="2" xfId="0" applyFont="1" applyBorder="1"/>
    <xf numFmtId="0" fontId="1" fillId="0" borderId="4" xfId="0" applyFont="1" applyBorder="1" applyAlignment="1">
      <alignment horizontal="center" vertical="center"/>
    </xf>
    <xf numFmtId="1" fontId="0" fillId="0" borderId="0" xfId="0" applyNumberFormat="1"/>
    <xf numFmtId="0" fontId="1" fillId="0" borderId="2" xfId="0" applyFont="1" applyBorder="1" applyAlignment="1">
      <alignment horizontal="center" vertical="center"/>
    </xf>
    <xf numFmtId="0" fontId="0" fillId="3" borderId="5" xfId="0" applyFill="1" applyBorder="1"/>
    <xf numFmtId="0" fontId="0" fillId="3" borderId="5" xfId="0" applyFill="1" applyBorder="1" applyAlignment="1">
      <alignment horizontal="center"/>
    </xf>
    <xf numFmtId="0" fontId="0" fillId="3" borderId="2" xfId="0" applyFill="1" applyBorder="1"/>
    <xf numFmtId="167" fontId="0" fillId="3" borderId="4" xfId="0" applyNumberFormat="1" applyFill="1" applyBorder="1" applyAlignment="1">
      <alignment horizontal="center" vertical="center"/>
    </xf>
    <xf numFmtId="0" fontId="0" fillId="3" borderId="4" xfId="0" applyFill="1" applyBorder="1"/>
    <xf numFmtId="0" fontId="0" fillId="0" borderId="6" xfId="0" applyBorder="1"/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horizontal="right"/>
    </xf>
    <xf numFmtId="0" fontId="0" fillId="4" borderId="6" xfId="0" applyFill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0" fontId="4" fillId="0" borderId="6" xfId="0" applyFont="1" applyBorder="1"/>
    <xf numFmtId="2" fontId="4" fillId="0" borderId="6" xfId="0" applyNumberFormat="1" applyFont="1" applyBorder="1"/>
    <xf numFmtId="2" fontId="4" fillId="2" borderId="6" xfId="0" applyNumberFormat="1" applyFont="1" applyFill="1" applyBorder="1"/>
    <xf numFmtId="0" fontId="0" fillId="3" borderId="0" xfId="0" applyFill="1"/>
    <xf numFmtId="1" fontId="0" fillId="3" borderId="0" xfId="0" applyNumberFormat="1" applyFill="1"/>
    <xf numFmtId="0" fontId="1" fillId="0" borderId="2" xfId="0" applyFont="1" applyBorder="1" applyAlignment="1" applyProtection="1">
      <alignment horizontal="center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67" fontId="1" fillId="0" borderId="2" xfId="0" applyNumberFormat="1" applyFont="1" applyBorder="1" applyAlignment="1" applyProtection="1">
      <alignment horizontal="center" vertical="center"/>
      <protection locked="0"/>
    </xf>
    <xf numFmtId="1" fontId="0" fillId="0" borderId="2" xfId="0" applyNumberForma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5" borderId="2" xfId="0" applyFill="1" applyBorder="1"/>
    <xf numFmtId="0" fontId="0" fillId="0" borderId="4" xfId="0" applyFill="1" applyBorder="1" applyAlignment="1">
      <alignment horizontal="center" vertical="center"/>
    </xf>
    <xf numFmtId="0" fontId="0" fillId="0" borderId="4" xfId="0" applyFill="1" applyBorder="1"/>
    <xf numFmtId="0" fontId="0" fillId="0" borderId="2" xfId="0" applyFill="1" applyBorder="1"/>
    <xf numFmtId="1" fontId="0" fillId="0" borderId="4" xfId="0" applyNumberFormat="1" applyFill="1" applyBorder="1"/>
  </cellXfs>
  <cellStyles count="1">
    <cellStyle name="Normal" xfId="0" builtinId="0"/>
  </cellStyles>
  <dxfs count="4">
    <dxf>
      <fill>
        <patternFill>
          <bgColor theme="3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152400</xdr:colOff>
      <xdr:row>2</xdr:row>
      <xdr:rowOff>47625</xdr:rowOff>
    </xdr:from>
    <xdr:to>
      <xdr:col>10</xdr:col>
      <xdr:colOff>304800</xdr:colOff>
      <xdr:row>4</xdr:row>
      <xdr:rowOff>76200</xdr:rowOff>
    </xdr:to>
    <xdr:sp macro="[0]!SelectSource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E71A834-3C3B-A90B-2A95-EF14580D8B75}"/>
            </a:ext>
          </a:extLst>
        </xdr:cNvPr>
        <xdr:cNvSpPr/>
      </xdr:nvSpPr>
      <xdr:spPr>
        <a:xfrm>
          <a:off x="6410325" y="428625"/>
          <a:ext cx="1371600" cy="409575"/>
        </a:xfrm>
        <a:prstGeom prst="roundRect">
          <a:avLst/>
        </a:prstGeom>
        <a:scene3d>
          <a:camera prst="orthographicFront"/>
          <a:lightRig rig="threePt" dir="t"/>
        </a:scene3d>
        <a:sp3d prstMaterial="metal">
          <a:bevelT w="127000" h="1270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 File</a:t>
          </a:r>
        </a:p>
      </xdr:txBody>
    </xdr:sp>
    <xdr:clientData/>
  </xdr:twoCellAnchor>
  <xdr:twoCellAnchor>
    <xdr:from>
      <xdr:col>8</xdr:col>
      <xdr:colOff>161925</xdr:colOff>
      <xdr:row>7</xdr:row>
      <xdr:rowOff>85725</xdr:rowOff>
    </xdr:from>
    <xdr:to>
      <xdr:col>10</xdr:col>
      <xdr:colOff>314325</xdr:colOff>
      <xdr:row>9</xdr:row>
      <xdr:rowOff>114300</xdr:rowOff>
    </xdr:to>
    <xdr:sp macro="[0]!ImportSelected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CEBE0FA-30A5-E543-BCA9-7ACAA15B0CF5}"/>
            </a:ext>
          </a:extLst>
        </xdr:cNvPr>
        <xdr:cNvSpPr/>
      </xdr:nvSpPr>
      <xdr:spPr>
        <a:xfrm>
          <a:off x="6419850" y="1419225"/>
          <a:ext cx="1371600" cy="409575"/>
        </a:xfrm>
        <a:prstGeom prst="roundRect">
          <a:avLst/>
        </a:prstGeom>
        <a:scene3d>
          <a:camera prst="orthographicFront"/>
          <a:lightRig rig="threePt" dir="t"/>
        </a:scene3d>
        <a:sp3d prstMaterial="metal">
          <a:bevelT w="127000" h="1270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  <xdr:twoCellAnchor>
    <xdr:from>
      <xdr:col>8</xdr:col>
      <xdr:colOff>171450</xdr:colOff>
      <xdr:row>4</xdr:row>
      <xdr:rowOff>152400</xdr:rowOff>
    </xdr:from>
    <xdr:to>
      <xdr:col>10</xdr:col>
      <xdr:colOff>323850</xdr:colOff>
      <xdr:row>6</xdr:row>
      <xdr:rowOff>180975</xdr:rowOff>
    </xdr:to>
    <xdr:sp macro="[0]!ImportSelected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2044327-9169-197B-5E2D-11EE336E508E}"/>
            </a:ext>
          </a:extLst>
        </xdr:cNvPr>
        <xdr:cNvSpPr/>
      </xdr:nvSpPr>
      <xdr:spPr>
        <a:xfrm>
          <a:off x="6429375" y="914400"/>
          <a:ext cx="1371600" cy="409575"/>
        </a:xfrm>
        <a:prstGeom prst="roundRect">
          <a:avLst/>
        </a:prstGeom>
        <a:scene3d>
          <a:camera prst="orthographicFront"/>
          <a:lightRig rig="threePt" dir="t"/>
        </a:scene3d>
        <a:sp3d prstMaterial="metal">
          <a:bevelT w="127000" h="1270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 Sheet</a:t>
          </a:r>
        </a:p>
      </xdr:txBody>
    </xdr:sp>
    <xdr:clientData/>
  </xdr:twoCellAnchor>
  <xdr:twoCellAnchor>
    <xdr:from>
      <xdr:col>8</xdr:col>
      <xdr:colOff>152400</xdr:colOff>
      <xdr:row>10</xdr:row>
      <xdr:rowOff>38100</xdr:rowOff>
    </xdr:from>
    <xdr:to>
      <xdr:col>10</xdr:col>
      <xdr:colOff>304800</xdr:colOff>
      <xdr:row>12</xdr:row>
      <xdr:rowOff>66675</xdr:rowOff>
    </xdr:to>
    <xdr:sp macro="[0]!SplitDataToFi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197C0D0-B37D-D95E-A729-9191DE65AB6E}"/>
            </a:ext>
          </a:extLst>
        </xdr:cNvPr>
        <xdr:cNvSpPr/>
      </xdr:nvSpPr>
      <xdr:spPr>
        <a:xfrm>
          <a:off x="6410325" y="1943100"/>
          <a:ext cx="1371600" cy="409575"/>
        </a:xfrm>
        <a:prstGeom prst="roundRect">
          <a:avLst/>
        </a:prstGeom>
        <a:scene3d>
          <a:camera prst="orthographicFront"/>
          <a:lightRig rig="threePt" dir="t"/>
        </a:scene3d>
        <a:sp3d prstMaterial="metal">
          <a:bevelT w="127000" h="1270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Split to</a:t>
          </a:r>
          <a:r>
            <a:rPr lang="en-US" sz="1100" baseline="0"/>
            <a:t> Files</a:t>
          </a:r>
          <a:endParaRPr lang="en-US" sz="1100"/>
        </a:p>
      </xdr:txBody>
    </xdr:sp>
    <xdr:clientData/>
  </xdr:twoCellAnchor>
  <xdr:twoCellAnchor>
    <xdr:from>
      <xdr:col>11</xdr:col>
      <xdr:colOff>9525</xdr:colOff>
      <xdr:row>6</xdr:row>
      <xdr:rowOff>28575</xdr:rowOff>
    </xdr:from>
    <xdr:to>
      <xdr:col>13</xdr:col>
      <xdr:colOff>161925</xdr:colOff>
      <xdr:row>8</xdr:row>
      <xdr:rowOff>57150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3E163DEC-5FF9-3491-86ED-57365BAD6EFB}"/>
            </a:ext>
          </a:extLst>
        </xdr:cNvPr>
        <xdr:cNvSpPr/>
      </xdr:nvSpPr>
      <xdr:spPr>
        <a:xfrm>
          <a:off x="8096250" y="1171575"/>
          <a:ext cx="1371600" cy="409575"/>
        </a:xfrm>
        <a:prstGeom prst="round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 prstMaterial="metal">
          <a:bevelT w="127000" h="1270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All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Packing\Packing%20All%20Backup\Ripon\Official\Bulk%20Report\Bulk%20Report%202026\Bulk%20Report%20%205%20May-2026\Bulk%20Record%20BM%20May-26.xlsx" TargetMode="External"/><Relationship Id="rId1" Type="http://schemas.openxmlformats.org/officeDocument/2006/relationships/externalLinkPath" Target="file:///F:\Packing\Packing%20All%20Backup\Ripon\Official\Bulk%20Report\Bulk%20Report%202026\Bulk%20Report%20%205%20May-2026\Bulk%20Record%20BM%20May-26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Packing\Packing%20All%20Backup\Ripon\Official\Bulk%20Report\Bulk%20Report%202026\Bulk%20Report%20%205%20May-2026\Bulk%20Record%20Gold%20May-26.xlsx" TargetMode="External"/><Relationship Id="rId1" Type="http://schemas.openxmlformats.org/officeDocument/2006/relationships/externalLinkPath" Target="file:///F:\Packing\Packing%20All%20Backup\Ripon\Official\Bulk%20Report\Bulk%20Report%202026\Bulk%20Report%20%205%20May-2026\Bulk%20Record%20Gold%20May-2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ulk List"/>
      <sheetName val=" March-22"/>
      <sheetName val="Bulk Active Jan-25"/>
      <sheetName val="Light Weight"/>
      <sheetName val="May-26"/>
      <sheetName val=" March -22 Gold(OPC)"/>
      <sheetName val="Search List"/>
      <sheetName val="Date Wise"/>
    </sheetNames>
    <sheetDataSet>
      <sheetData sheetId="0"/>
      <sheetData sheetId="1"/>
      <sheetData sheetId="2"/>
      <sheetData sheetId="3">
        <row r="4">
          <cell r="B4" t="str">
            <v>Update date</v>
          </cell>
          <cell r="C4">
            <v>45765</v>
          </cell>
        </row>
        <row r="6">
          <cell r="B6" t="str">
            <v>Vehicle Number</v>
          </cell>
          <cell r="C6" t="str">
            <v>Light Weight</v>
          </cell>
        </row>
        <row r="7">
          <cell r="B7" t="str">
            <v>CM-SHA 11-3929</v>
          </cell>
          <cell r="C7">
            <v>10400</v>
          </cell>
        </row>
        <row r="8">
          <cell r="B8" t="str">
            <v>CM-SHA 11-3930</v>
          </cell>
          <cell r="C8">
            <v>10450</v>
          </cell>
        </row>
        <row r="9">
          <cell r="B9" t="str">
            <v>CM-SHA 11-3931</v>
          </cell>
          <cell r="C9">
            <v>10520</v>
          </cell>
        </row>
        <row r="10">
          <cell r="B10" t="str">
            <v>CM-SHA 11-3932</v>
          </cell>
          <cell r="C10">
            <v>10360</v>
          </cell>
        </row>
        <row r="11">
          <cell r="B11" t="str">
            <v>CM-SHA 11-3933</v>
          </cell>
          <cell r="C11">
            <v>10410</v>
          </cell>
        </row>
        <row r="12">
          <cell r="B12">
            <v>0</v>
          </cell>
          <cell r="C12">
            <v>0</v>
          </cell>
        </row>
        <row r="13">
          <cell r="B13" t="str">
            <v>CM-SHA 11-4111</v>
          </cell>
          <cell r="C13">
            <v>10550</v>
          </cell>
        </row>
        <row r="14">
          <cell r="B14" t="str">
            <v>CM-SHA 11-4112</v>
          </cell>
          <cell r="C14">
            <v>10460</v>
          </cell>
        </row>
        <row r="15">
          <cell r="B15" t="str">
            <v>CM-SHA 11-4113</v>
          </cell>
          <cell r="C15">
            <v>10430</v>
          </cell>
        </row>
        <row r="16">
          <cell r="B16" t="str">
            <v>CM-SHA 11-4114</v>
          </cell>
          <cell r="C16">
            <v>10550</v>
          </cell>
        </row>
        <row r="17">
          <cell r="B17" t="str">
            <v>CM-SHA 11-4115</v>
          </cell>
          <cell r="C17">
            <v>10460</v>
          </cell>
        </row>
        <row r="18">
          <cell r="B18">
            <v>0</v>
          </cell>
          <cell r="C18">
            <v>0</v>
          </cell>
        </row>
        <row r="19">
          <cell r="B19" t="str">
            <v>CM-SHA 11-4402</v>
          </cell>
          <cell r="C19">
            <v>10420</v>
          </cell>
        </row>
        <row r="20">
          <cell r="B20" t="str">
            <v>CM-SHA 11-4403</v>
          </cell>
          <cell r="C20">
            <v>10480</v>
          </cell>
        </row>
        <row r="21">
          <cell r="B21" t="str">
            <v>CM-SHA 11-4404</v>
          </cell>
          <cell r="C21">
            <v>10550</v>
          </cell>
        </row>
        <row r="22">
          <cell r="B22" t="str">
            <v>CM-SHA 11-4405</v>
          </cell>
          <cell r="C22">
            <v>10380</v>
          </cell>
        </row>
        <row r="23">
          <cell r="B23" t="str">
            <v>CM-SHA 11-4406</v>
          </cell>
          <cell r="C23">
            <v>10440</v>
          </cell>
        </row>
        <row r="24">
          <cell r="B24" t="str">
            <v>CM-SHA 11-4407</v>
          </cell>
          <cell r="C24">
            <v>10420</v>
          </cell>
        </row>
        <row r="25">
          <cell r="B25" t="str">
            <v>CM-SHA 11-4408</v>
          </cell>
          <cell r="C25">
            <v>10420</v>
          </cell>
        </row>
        <row r="26">
          <cell r="B26" t="str">
            <v>CM-SHA 11-4409</v>
          </cell>
          <cell r="C26">
            <v>10450</v>
          </cell>
        </row>
        <row r="27">
          <cell r="B27" t="str">
            <v>CM-SHA 11-4410</v>
          </cell>
          <cell r="C27">
            <v>10500</v>
          </cell>
        </row>
        <row r="28">
          <cell r="B28" t="str">
            <v>CM-SHA 11-4411</v>
          </cell>
          <cell r="C28">
            <v>10340</v>
          </cell>
        </row>
        <row r="29">
          <cell r="B29" t="str">
            <v>CM-SHA 11-4412</v>
          </cell>
          <cell r="C29">
            <v>10330</v>
          </cell>
        </row>
        <row r="30">
          <cell r="B30" t="str">
            <v>CM-SHA 11-4413</v>
          </cell>
          <cell r="C30">
            <v>10380</v>
          </cell>
        </row>
        <row r="31">
          <cell r="B31" t="str">
            <v>CM-SHA 11-4414</v>
          </cell>
          <cell r="C31">
            <v>10400</v>
          </cell>
        </row>
        <row r="32">
          <cell r="B32" t="str">
            <v>CM-SHA 11-4415</v>
          </cell>
          <cell r="C32">
            <v>10430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ulk List"/>
      <sheetName val=" March-22"/>
      <sheetName val=" March-22 BM(PCC)"/>
      <sheetName val="Bulk Active Jan-23"/>
      <sheetName val="Light Weight"/>
      <sheetName val="May 2026"/>
      <sheetName val="Search List"/>
      <sheetName val="Date Wise"/>
    </sheetNames>
    <sheetDataSet>
      <sheetData sheetId="0"/>
      <sheetData sheetId="1"/>
      <sheetData sheetId="2"/>
      <sheetData sheetId="3"/>
      <sheetData sheetId="4">
        <row r="4">
          <cell r="B4" t="str">
            <v>Update date</v>
          </cell>
          <cell r="C4">
            <v>45765</v>
          </cell>
        </row>
        <row r="6">
          <cell r="B6" t="str">
            <v>Vehicle Number</v>
          </cell>
          <cell r="C6" t="str">
            <v>Light Weight</v>
          </cell>
        </row>
        <row r="7">
          <cell r="B7" t="str">
            <v>CM-SHA 11-3929</v>
          </cell>
          <cell r="C7">
            <v>10400</v>
          </cell>
        </row>
        <row r="8">
          <cell r="B8" t="str">
            <v>CM-SHA 11-3930</v>
          </cell>
          <cell r="C8">
            <v>10450</v>
          </cell>
        </row>
        <row r="9">
          <cell r="B9" t="str">
            <v>CM-SHA 11-3931</v>
          </cell>
          <cell r="C9">
            <v>10520</v>
          </cell>
        </row>
        <row r="10">
          <cell r="B10" t="str">
            <v>CM-SHA 11-3932</v>
          </cell>
          <cell r="C10">
            <v>10360</v>
          </cell>
        </row>
        <row r="11">
          <cell r="B11" t="str">
            <v>CM-SHA 11-3933</v>
          </cell>
          <cell r="C11">
            <v>10410</v>
          </cell>
        </row>
        <row r="12">
          <cell r="B12">
            <v>0</v>
          </cell>
          <cell r="C12">
            <v>0</v>
          </cell>
        </row>
        <row r="13">
          <cell r="B13" t="str">
            <v>CM-SHA 11-4111</v>
          </cell>
          <cell r="C13">
            <v>10550</v>
          </cell>
        </row>
        <row r="14">
          <cell r="B14" t="str">
            <v>CM-SHA 11-4112</v>
          </cell>
          <cell r="C14">
            <v>10460</v>
          </cell>
        </row>
        <row r="15">
          <cell r="B15" t="str">
            <v>CM-SHA 11-4113</v>
          </cell>
          <cell r="C15">
            <v>10430</v>
          </cell>
        </row>
        <row r="16">
          <cell r="B16" t="str">
            <v>CM-SHA 11-4114</v>
          </cell>
          <cell r="C16">
            <v>10550</v>
          </cell>
        </row>
        <row r="17">
          <cell r="B17" t="str">
            <v>CM-SHA 11-4115</v>
          </cell>
          <cell r="C17">
            <v>10460</v>
          </cell>
        </row>
        <row r="18">
          <cell r="B18">
            <v>0</v>
          </cell>
          <cell r="C18">
            <v>0</v>
          </cell>
        </row>
        <row r="19">
          <cell r="B19" t="str">
            <v>CM-SHA 11-4402</v>
          </cell>
          <cell r="C19">
            <v>10420</v>
          </cell>
        </row>
        <row r="20">
          <cell r="B20" t="str">
            <v>CM-SHA 11-4403</v>
          </cell>
          <cell r="C20">
            <v>10480</v>
          </cell>
        </row>
        <row r="21">
          <cell r="B21" t="str">
            <v>CM-SHA 11-4404</v>
          </cell>
          <cell r="C21">
            <v>10550</v>
          </cell>
        </row>
        <row r="22">
          <cell r="B22" t="str">
            <v>CM-SHA 11-4405</v>
          </cell>
          <cell r="C22">
            <v>10380</v>
          </cell>
        </row>
        <row r="23">
          <cell r="B23" t="str">
            <v>CM-SHA 11-4406</v>
          </cell>
          <cell r="C23">
            <v>10440</v>
          </cell>
        </row>
        <row r="24">
          <cell r="B24" t="str">
            <v>CM-SHA 11-4407</v>
          </cell>
          <cell r="C24">
            <v>10420</v>
          </cell>
        </row>
        <row r="25">
          <cell r="B25" t="str">
            <v>CM-SHA 11-4408</v>
          </cell>
          <cell r="C25">
            <v>10420</v>
          </cell>
        </row>
        <row r="26">
          <cell r="B26" t="str">
            <v>CM-SHA 11-4409</v>
          </cell>
          <cell r="C26">
            <v>10450</v>
          </cell>
        </row>
        <row r="27">
          <cell r="B27" t="str">
            <v>CM-SHA 11-4410</v>
          </cell>
          <cell r="C27">
            <v>10500</v>
          </cell>
        </row>
        <row r="28">
          <cell r="B28" t="str">
            <v>CM-SHA 11-4411</v>
          </cell>
          <cell r="C28">
            <v>10340</v>
          </cell>
        </row>
        <row r="29">
          <cell r="B29" t="str">
            <v>CM-SHA 11-4412</v>
          </cell>
          <cell r="C29">
            <v>10330</v>
          </cell>
        </row>
        <row r="30">
          <cell r="B30" t="str">
            <v>CM-SHA 11-4413</v>
          </cell>
          <cell r="C30">
            <v>10380</v>
          </cell>
        </row>
        <row r="31">
          <cell r="B31" t="str">
            <v>CM-SHA 11-4414</v>
          </cell>
          <cell r="C31">
            <v>10400</v>
          </cell>
        </row>
        <row r="32">
          <cell r="B32" t="str">
            <v>CM-SHA 11-4415</v>
          </cell>
          <cell r="C32">
            <v>10430</v>
          </cell>
        </row>
      </sheetData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DE9D-76BF-44E3-A9CE-3362D8C935F2}">
  <sheetPr codeName="Sheet1"/>
  <dimension ref="D3:F10"/>
  <sheetViews>
    <sheetView tabSelected="1" workbookViewId="0">
      <selection activeCell="L11" sqref="L11"/>
    </sheetView>
  </sheetViews>
  <sheetFormatPr defaultRowHeight="15" x14ac:dyDescent="0.25"/>
  <cols>
    <col min="4" max="4" width="26.140625" bestFit="1" customWidth="1"/>
    <col min="5" max="5" width="20" bestFit="1" customWidth="1"/>
    <col min="6" max="6" width="2" bestFit="1" customWidth="1"/>
  </cols>
  <sheetData>
    <row r="3" spans="4:6" x14ac:dyDescent="0.25">
      <c r="D3" t="s">
        <v>0</v>
      </c>
      <c r="E3" t="s">
        <v>1</v>
      </c>
      <c r="F3">
        <v>0</v>
      </c>
    </row>
    <row r="4" spans="4:6" x14ac:dyDescent="0.25">
      <c r="E4" t="s">
        <v>2</v>
      </c>
      <c r="F4">
        <v>0</v>
      </c>
    </row>
    <row r="5" spans="4:6" x14ac:dyDescent="0.25">
      <c r="E5" t="s">
        <v>3</v>
      </c>
      <c r="F5">
        <v>0</v>
      </c>
    </row>
    <row r="6" spans="4:6" x14ac:dyDescent="0.25">
      <c r="E6" t="s">
        <v>4</v>
      </c>
      <c r="F6">
        <v>0</v>
      </c>
    </row>
    <row r="7" spans="4:6" x14ac:dyDescent="0.25">
      <c r="E7" s="1" t="s">
        <v>8</v>
      </c>
      <c r="F7">
        <v>1</v>
      </c>
    </row>
    <row r="8" spans="4:6" x14ac:dyDescent="0.25">
      <c r="E8" t="s">
        <v>5</v>
      </c>
      <c r="F8">
        <v>0</v>
      </c>
    </row>
    <row r="9" spans="4:6" x14ac:dyDescent="0.25">
      <c r="E9" t="s">
        <v>6</v>
      </c>
      <c r="F9">
        <v>0</v>
      </c>
    </row>
    <row r="10" spans="4:6" x14ac:dyDescent="0.25">
      <c r="E10" t="s">
        <v>7</v>
      </c>
      <c r="F10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0BAD3-6245-4410-99D2-96725665DB93}">
  <sheetPr codeName="Sheet2"/>
  <dimension ref="A1:M524"/>
  <sheetViews>
    <sheetView topLeftCell="A362" workbookViewId="0">
      <selection activeCell="J368" sqref="J339:J368"/>
    </sheetView>
  </sheetViews>
  <sheetFormatPr defaultRowHeight="15" x14ac:dyDescent="0.25"/>
  <cols>
    <col min="1" max="1" width="10.140625" bestFit="1" customWidth="1"/>
  </cols>
  <sheetData>
    <row r="1" spans="1:13" ht="18.75" x14ac:dyDescent="0.25">
      <c r="A1" s="2" t="s">
        <v>9</v>
      </c>
      <c r="B1" s="2"/>
      <c r="C1" s="2"/>
      <c r="D1" s="2"/>
      <c r="E1" s="2"/>
      <c r="F1" s="2"/>
      <c r="G1" s="2"/>
      <c r="H1" s="2"/>
      <c r="I1" s="2"/>
      <c r="J1" s="2"/>
      <c r="K1" s="2"/>
    </row>
    <row r="2" spans="1:13" x14ac:dyDescent="0.25">
      <c r="A2" s="3" t="s">
        <v>10</v>
      </c>
      <c r="B2" s="3"/>
      <c r="C2" s="3"/>
      <c r="D2" s="3"/>
      <c r="E2" s="3"/>
      <c r="F2" s="3"/>
      <c r="G2" s="3"/>
      <c r="H2" s="3"/>
      <c r="I2" s="3"/>
      <c r="J2" s="3"/>
      <c r="K2" s="3"/>
    </row>
    <row r="3" spans="1:13" x14ac:dyDescent="0.25">
      <c r="A3" s="4" t="s">
        <v>11</v>
      </c>
      <c r="B3" s="4"/>
      <c r="C3" s="4"/>
      <c r="D3" s="4"/>
      <c r="E3" s="4"/>
      <c r="F3" s="4"/>
      <c r="G3" s="4"/>
      <c r="H3" s="4"/>
      <c r="I3" s="4"/>
      <c r="J3" s="4"/>
      <c r="K3" s="4"/>
    </row>
    <row r="4" spans="1:13" x14ac:dyDescent="0.25">
      <c r="A4" s="4"/>
      <c r="B4" s="4"/>
      <c r="C4" s="4"/>
      <c r="D4" s="4"/>
      <c r="E4" s="4"/>
      <c r="F4" s="4"/>
      <c r="G4" s="4"/>
      <c r="H4" t="s">
        <v>12</v>
      </c>
      <c r="I4" s="5" t="str">
        <f ca="1">MID(CELL("filename",A1),FIND("]",CELL("filename",A1))+1,255)</f>
        <v>Main</v>
      </c>
      <c r="J4" s="4"/>
      <c r="K4" s="4"/>
    </row>
    <row r="5" spans="1:13" x14ac:dyDescent="0.25">
      <c r="A5" s="6" t="s">
        <v>13</v>
      </c>
      <c r="B5" s="7" t="s">
        <v>14</v>
      </c>
      <c r="C5" s="8" t="s">
        <v>15</v>
      </c>
      <c r="D5" s="8" t="s">
        <v>16</v>
      </c>
      <c r="E5" s="8" t="s">
        <v>17</v>
      </c>
      <c r="F5" s="9" t="s">
        <v>18</v>
      </c>
      <c r="G5" s="9"/>
      <c r="H5" s="9"/>
      <c r="I5" s="10" t="s">
        <v>19</v>
      </c>
      <c r="J5" s="10"/>
      <c r="K5" s="8" t="s">
        <v>20</v>
      </c>
    </row>
    <row r="6" spans="1:13" x14ac:dyDescent="0.25">
      <c r="A6" s="6"/>
      <c r="B6" s="11"/>
      <c r="C6" s="8"/>
      <c r="D6" s="8"/>
      <c r="E6" s="8"/>
      <c r="F6" s="12" t="s">
        <v>4</v>
      </c>
      <c r="G6" s="12" t="s">
        <v>21</v>
      </c>
      <c r="H6" s="12" t="s">
        <v>22</v>
      </c>
      <c r="I6" s="12" t="s">
        <v>4</v>
      </c>
      <c r="J6" s="12" t="s">
        <v>22</v>
      </c>
      <c r="K6" s="8"/>
    </row>
    <row r="7" spans="1:13" x14ac:dyDescent="0.25">
      <c r="A7" s="12"/>
      <c r="B7" s="13"/>
      <c r="C7" s="12"/>
      <c r="D7" s="42" t="s">
        <v>49</v>
      </c>
      <c r="E7" s="14"/>
      <c r="F7" s="12"/>
      <c r="G7" s="12"/>
      <c r="H7" s="43">
        <f t="shared" ref="H7:H70" si="0">G7-F7</f>
        <v>0</v>
      </c>
      <c r="I7" s="44"/>
      <c r="J7" s="43"/>
      <c r="K7" s="45">
        <f t="shared" ref="K7" si="1">SUM(H7-J7)</f>
        <v>0</v>
      </c>
    </row>
    <row r="8" spans="1:13" x14ac:dyDescent="0.25">
      <c r="A8" s="16" t="s">
        <v>24</v>
      </c>
      <c r="B8" s="17" t="s">
        <v>25</v>
      </c>
      <c r="C8" s="12">
        <v>2322</v>
      </c>
      <c r="D8" s="42" t="s">
        <v>23</v>
      </c>
      <c r="E8" s="14">
        <v>24</v>
      </c>
      <c r="F8" s="12">
        <v>12300</v>
      </c>
      <c r="G8" s="12">
        <v>36700</v>
      </c>
      <c r="H8" s="43">
        <f t="shared" si="0"/>
        <v>24400</v>
      </c>
      <c r="I8" s="44">
        <v>121200</v>
      </c>
      <c r="J8" s="15">
        <v>24560</v>
      </c>
      <c r="K8" s="45">
        <f t="shared" ref="K8:K70" si="2">SUM(H8-J8)</f>
        <v>-160</v>
      </c>
      <c r="M8" s="18"/>
    </row>
    <row r="9" spans="1:13" x14ac:dyDescent="0.25">
      <c r="A9" s="16" t="s">
        <v>24</v>
      </c>
      <c r="B9" s="17" t="s">
        <v>25</v>
      </c>
      <c r="C9" s="12">
        <v>2322</v>
      </c>
      <c r="D9" s="42" t="s">
        <v>23</v>
      </c>
      <c r="E9" s="14">
        <v>24</v>
      </c>
      <c r="F9" s="12">
        <v>12200</v>
      </c>
      <c r="G9" s="12">
        <v>36800</v>
      </c>
      <c r="H9" s="43">
        <f t="shared" si="0"/>
        <v>24600</v>
      </c>
      <c r="I9" s="44">
        <v>12100</v>
      </c>
      <c r="J9" s="15">
        <v>24610</v>
      </c>
      <c r="K9" s="45">
        <f t="shared" si="2"/>
        <v>-10</v>
      </c>
      <c r="M9" s="18"/>
    </row>
    <row r="10" spans="1:13" x14ac:dyDescent="0.25">
      <c r="A10" s="16" t="s">
        <v>24</v>
      </c>
      <c r="B10" s="17" t="s">
        <v>26</v>
      </c>
      <c r="C10" s="12">
        <v>3933</v>
      </c>
      <c r="D10" s="42" t="s">
        <v>23</v>
      </c>
      <c r="E10" s="14">
        <v>23</v>
      </c>
      <c r="F10" s="12">
        <v>10700</v>
      </c>
      <c r="G10" s="12">
        <v>34000</v>
      </c>
      <c r="H10" s="43">
        <f t="shared" si="0"/>
        <v>23300</v>
      </c>
      <c r="I10" s="44">
        <f>IFERROR(VLOOKUP("CM-SHA 11-"&amp;C10,'[1]Light Weight'!B:C,2,0),"")</f>
        <v>10410</v>
      </c>
      <c r="J10" s="15">
        <v>23640</v>
      </c>
      <c r="K10" s="45">
        <f t="shared" si="2"/>
        <v>-340</v>
      </c>
      <c r="M10" s="18"/>
    </row>
    <row r="11" spans="1:13" x14ac:dyDescent="0.25">
      <c r="A11" s="16" t="s">
        <v>24</v>
      </c>
      <c r="B11" s="17" t="s">
        <v>27</v>
      </c>
      <c r="C11" s="12">
        <v>428</v>
      </c>
      <c r="D11" s="42" t="s">
        <v>23</v>
      </c>
      <c r="E11" s="14">
        <v>17</v>
      </c>
      <c r="F11" s="12">
        <v>12000</v>
      </c>
      <c r="G11" s="12">
        <v>29400</v>
      </c>
      <c r="H11" s="43">
        <f t="shared" si="0"/>
        <v>17400</v>
      </c>
      <c r="I11" s="44">
        <v>11830</v>
      </c>
      <c r="J11" s="15">
        <v>17560</v>
      </c>
      <c r="K11" s="45">
        <f t="shared" si="2"/>
        <v>-160</v>
      </c>
      <c r="M11" s="18"/>
    </row>
    <row r="12" spans="1:13" x14ac:dyDescent="0.25">
      <c r="A12" s="16"/>
      <c r="B12" s="17"/>
      <c r="C12" s="12"/>
      <c r="D12" s="42" t="s">
        <v>23</v>
      </c>
      <c r="E12" s="14"/>
      <c r="F12" s="12"/>
      <c r="G12" s="12"/>
      <c r="H12" s="43">
        <f t="shared" si="0"/>
        <v>0</v>
      </c>
      <c r="I12" s="44" t="str">
        <f>IFERROR(VLOOKUP("CM-SHA 11-"&amp;C12,'[1]Light Weight'!B:C,2,0),"")</f>
        <v/>
      </c>
      <c r="J12" s="15"/>
      <c r="K12" s="45">
        <f t="shared" si="2"/>
        <v>0</v>
      </c>
      <c r="M12" s="18"/>
    </row>
    <row r="13" spans="1:13" x14ac:dyDescent="0.25">
      <c r="A13" s="16" t="s">
        <v>28</v>
      </c>
      <c r="B13" s="17" t="s">
        <v>25</v>
      </c>
      <c r="C13" s="12">
        <v>4412</v>
      </c>
      <c r="D13" s="42" t="s">
        <v>23</v>
      </c>
      <c r="E13" s="14">
        <v>23</v>
      </c>
      <c r="F13" s="12">
        <v>10800</v>
      </c>
      <c r="G13" s="12">
        <v>34200</v>
      </c>
      <c r="H13" s="43">
        <f t="shared" si="0"/>
        <v>23400</v>
      </c>
      <c r="I13" s="44">
        <f>IFERROR(VLOOKUP("CM-SHA 11-"&amp;C13,'[1]Light Weight'!B:C,2,0),"")</f>
        <v>10330</v>
      </c>
      <c r="J13" s="15">
        <v>23630</v>
      </c>
      <c r="K13" s="45">
        <f t="shared" si="2"/>
        <v>-230</v>
      </c>
      <c r="M13" s="18"/>
    </row>
    <row r="14" spans="1:13" x14ac:dyDescent="0.25">
      <c r="A14" s="16" t="s">
        <v>28</v>
      </c>
      <c r="B14" s="17" t="s">
        <v>26</v>
      </c>
      <c r="C14" s="12">
        <v>3929</v>
      </c>
      <c r="D14" s="42" t="s">
        <v>23</v>
      </c>
      <c r="E14" s="14">
        <v>22</v>
      </c>
      <c r="F14" s="12">
        <v>10900</v>
      </c>
      <c r="G14" s="12">
        <v>33200</v>
      </c>
      <c r="H14" s="43">
        <f t="shared" si="0"/>
        <v>22300</v>
      </c>
      <c r="I14" s="44">
        <f>IFERROR(VLOOKUP("CM-SHA 11-"&amp;C14,'[1]Light Weight'!B:C,2,0),"")</f>
        <v>10400</v>
      </c>
      <c r="J14" s="15">
        <v>22500</v>
      </c>
      <c r="K14" s="45">
        <f t="shared" si="2"/>
        <v>-200</v>
      </c>
      <c r="M14" s="18"/>
    </row>
    <row r="15" spans="1:13" x14ac:dyDescent="0.25">
      <c r="A15" s="16" t="s">
        <v>28</v>
      </c>
      <c r="B15" s="17" t="s">
        <v>27</v>
      </c>
      <c r="C15" s="12">
        <v>4415</v>
      </c>
      <c r="D15" s="42" t="s">
        <v>23</v>
      </c>
      <c r="E15" s="14">
        <v>22</v>
      </c>
      <c r="F15" s="12">
        <v>10900</v>
      </c>
      <c r="G15" s="12">
        <v>33200</v>
      </c>
      <c r="H15" s="43">
        <f t="shared" si="0"/>
        <v>22300</v>
      </c>
      <c r="I15" s="44">
        <f>IFERROR(VLOOKUP("CM-SHA 11-"&amp;C15,'[1]Light Weight'!B:C,2,0),"")</f>
        <v>10430</v>
      </c>
      <c r="J15" s="15">
        <v>22490</v>
      </c>
      <c r="K15" s="45">
        <f t="shared" si="2"/>
        <v>-190</v>
      </c>
      <c r="M15" s="18"/>
    </row>
    <row r="16" spans="1:13" x14ac:dyDescent="0.25">
      <c r="A16" s="16" t="s">
        <v>28</v>
      </c>
      <c r="B16" s="17" t="s">
        <v>27</v>
      </c>
      <c r="C16" s="12">
        <v>4414</v>
      </c>
      <c r="D16" s="42" t="s">
        <v>23</v>
      </c>
      <c r="E16" s="14">
        <v>22</v>
      </c>
      <c r="F16" s="12">
        <v>10800</v>
      </c>
      <c r="G16" s="12">
        <v>33200</v>
      </c>
      <c r="H16" s="43">
        <f t="shared" si="0"/>
        <v>22400</v>
      </c>
      <c r="I16" s="44">
        <f>IFERROR(VLOOKUP("CM-SHA 11-"&amp;C16,'[1]Light Weight'!B:C,2,0),"")</f>
        <v>10400</v>
      </c>
      <c r="J16" s="15">
        <v>22730</v>
      </c>
      <c r="K16" s="45">
        <f t="shared" si="2"/>
        <v>-330</v>
      </c>
      <c r="M16" s="18"/>
    </row>
    <row r="17" spans="1:13" x14ac:dyDescent="0.25">
      <c r="A17" s="16" t="s">
        <v>28</v>
      </c>
      <c r="B17" s="17" t="s">
        <v>27</v>
      </c>
      <c r="C17" s="12">
        <v>4112</v>
      </c>
      <c r="D17" s="42" t="s">
        <v>23</v>
      </c>
      <c r="E17" s="14">
        <v>22</v>
      </c>
      <c r="F17" s="12">
        <v>10800</v>
      </c>
      <c r="G17" s="12">
        <v>32900</v>
      </c>
      <c r="H17" s="43">
        <f t="shared" si="0"/>
        <v>22100</v>
      </c>
      <c r="I17" s="44">
        <f>IFERROR(VLOOKUP("CM-SHA 11-"&amp;C17,'[1]Light Weight'!B:C,2,0),"")</f>
        <v>10460</v>
      </c>
      <c r="J17" s="15">
        <v>22350</v>
      </c>
      <c r="K17" s="45">
        <f t="shared" si="2"/>
        <v>-250</v>
      </c>
      <c r="M17" s="18"/>
    </row>
    <row r="18" spans="1:13" x14ac:dyDescent="0.25">
      <c r="A18" s="16" t="s">
        <v>28</v>
      </c>
      <c r="B18" s="17" t="s">
        <v>26</v>
      </c>
      <c r="C18" s="12">
        <v>4413</v>
      </c>
      <c r="D18" s="42" t="s">
        <v>23</v>
      </c>
      <c r="E18" s="14">
        <v>22</v>
      </c>
      <c r="F18" s="12">
        <v>10800</v>
      </c>
      <c r="G18" s="12">
        <v>33100</v>
      </c>
      <c r="H18" s="43">
        <f t="shared" si="0"/>
        <v>22300</v>
      </c>
      <c r="I18" s="44">
        <f>IFERROR(VLOOKUP("CM-SHA 11-"&amp;C18,'[1]Light Weight'!B:C,2,0),"")</f>
        <v>10380</v>
      </c>
      <c r="J18" s="15">
        <v>22650</v>
      </c>
      <c r="K18" s="45">
        <f t="shared" si="2"/>
        <v>-350</v>
      </c>
      <c r="M18" s="18"/>
    </row>
    <row r="19" spans="1:13" x14ac:dyDescent="0.25">
      <c r="A19" s="16" t="s">
        <v>28</v>
      </c>
      <c r="B19" s="17" t="s">
        <v>26</v>
      </c>
      <c r="C19" s="12">
        <v>4405</v>
      </c>
      <c r="D19" s="42" t="s">
        <v>23</v>
      </c>
      <c r="E19" s="14">
        <v>22</v>
      </c>
      <c r="F19" s="12">
        <v>10800</v>
      </c>
      <c r="G19" s="12">
        <v>33100</v>
      </c>
      <c r="H19" s="43">
        <f t="shared" si="0"/>
        <v>22300</v>
      </c>
      <c r="I19" s="44">
        <f>IFERROR(VLOOKUP("CM-SHA 11-"&amp;C19,'[1]Light Weight'!B:C,2,0),"")</f>
        <v>10380</v>
      </c>
      <c r="J19" s="15">
        <v>22600</v>
      </c>
      <c r="K19" s="45">
        <f t="shared" si="2"/>
        <v>-300</v>
      </c>
      <c r="M19" s="18"/>
    </row>
    <row r="20" spans="1:13" x14ac:dyDescent="0.25">
      <c r="A20" s="16" t="s">
        <v>28</v>
      </c>
      <c r="B20" s="17" t="s">
        <v>27</v>
      </c>
      <c r="C20" s="12">
        <v>3931</v>
      </c>
      <c r="D20" s="42" t="s">
        <v>23</v>
      </c>
      <c r="E20" s="14">
        <v>22</v>
      </c>
      <c r="F20" s="12">
        <v>10700</v>
      </c>
      <c r="G20" s="12">
        <v>33000</v>
      </c>
      <c r="H20" s="43">
        <f t="shared" si="0"/>
        <v>22300</v>
      </c>
      <c r="I20" s="44">
        <f>IFERROR(VLOOKUP("CM-SHA 11-"&amp;C20,'[1]Light Weight'!B:C,2,0),"")</f>
        <v>10520</v>
      </c>
      <c r="J20" s="15">
        <v>22510</v>
      </c>
      <c r="K20" s="45">
        <f t="shared" si="2"/>
        <v>-210</v>
      </c>
      <c r="M20" s="18"/>
    </row>
    <row r="21" spans="1:13" x14ac:dyDescent="0.25">
      <c r="A21" s="16" t="s">
        <v>28</v>
      </c>
      <c r="B21" s="17" t="s">
        <v>27</v>
      </c>
      <c r="C21" s="12">
        <v>3933</v>
      </c>
      <c r="D21" s="42" t="s">
        <v>23</v>
      </c>
      <c r="E21" s="14">
        <v>22</v>
      </c>
      <c r="F21" s="12">
        <v>10800</v>
      </c>
      <c r="G21" s="12">
        <v>33000</v>
      </c>
      <c r="H21" s="43">
        <f t="shared" si="0"/>
        <v>22200</v>
      </c>
      <c r="I21" s="44">
        <f>IFERROR(VLOOKUP("CM-SHA 11-"&amp;C21,'[1]Light Weight'!B:C,2,0),"")</f>
        <v>10410</v>
      </c>
      <c r="J21" s="15">
        <v>22510</v>
      </c>
      <c r="K21" s="45">
        <f t="shared" si="2"/>
        <v>-310</v>
      </c>
      <c r="M21" s="18"/>
    </row>
    <row r="22" spans="1:13" x14ac:dyDescent="0.25">
      <c r="A22" s="16" t="s">
        <v>28</v>
      </c>
      <c r="B22" s="17" t="s">
        <v>27</v>
      </c>
      <c r="C22" s="12">
        <v>4403</v>
      </c>
      <c r="D22" s="42" t="s">
        <v>23</v>
      </c>
      <c r="E22" s="14">
        <v>22</v>
      </c>
      <c r="F22" s="12">
        <v>10800</v>
      </c>
      <c r="G22" s="12">
        <v>33100</v>
      </c>
      <c r="H22" s="43">
        <f t="shared" si="0"/>
        <v>22300</v>
      </c>
      <c r="I22" s="44">
        <f>IFERROR(VLOOKUP("CM-SHA 11-"&amp;C22,'[1]Light Weight'!B:C,2,0),"")</f>
        <v>10480</v>
      </c>
      <c r="J22" s="15">
        <v>22540</v>
      </c>
      <c r="K22" s="45">
        <f t="shared" si="2"/>
        <v>-240</v>
      </c>
      <c r="M22" s="18"/>
    </row>
    <row r="23" spans="1:13" x14ac:dyDescent="0.25">
      <c r="A23" s="16" t="s">
        <v>28</v>
      </c>
      <c r="B23" s="17" t="s">
        <v>27</v>
      </c>
      <c r="C23" s="12">
        <v>4409</v>
      </c>
      <c r="D23" s="42" t="s">
        <v>23</v>
      </c>
      <c r="E23" s="14">
        <v>22</v>
      </c>
      <c r="F23" s="12">
        <v>10700</v>
      </c>
      <c r="G23" s="12">
        <v>33000</v>
      </c>
      <c r="H23" s="43">
        <f t="shared" si="0"/>
        <v>22300</v>
      </c>
      <c r="I23" s="44">
        <f>IFERROR(VLOOKUP("CM-SHA 11-"&amp;C23,'[1]Light Weight'!B:C,2,0),"")</f>
        <v>10450</v>
      </c>
      <c r="J23" s="15">
        <v>22510</v>
      </c>
      <c r="K23" s="45">
        <f t="shared" si="2"/>
        <v>-210</v>
      </c>
      <c r="M23" s="18"/>
    </row>
    <row r="24" spans="1:13" x14ac:dyDescent="0.25">
      <c r="A24" s="16" t="s">
        <v>28</v>
      </c>
      <c r="B24" s="17" t="s">
        <v>27</v>
      </c>
      <c r="C24" s="12">
        <v>4412</v>
      </c>
      <c r="D24" s="42" t="s">
        <v>23</v>
      </c>
      <c r="E24" s="14">
        <v>22</v>
      </c>
      <c r="F24" s="12">
        <v>10700</v>
      </c>
      <c r="G24" s="12">
        <v>33000</v>
      </c>
      <c r="H24" s="43">
        <f t="shared" si="0"/>
        <v>22300</v>
      </c>
      <c r="I24" s="44">
        <f>IFERROR(VLOOKUP("CM-SHA 11-"&amp;C24,'[1]Light Weight'!B:C,2,0),"")</f>
        <v>10330</v>
      </c>
      <c r="J24" s="15">
        <v>22560</v>
      </c>
      <c r="K24" s="45">
        <f t="shared" si="2"/>
        <v>-260</v>
      </c>
      <c r="M24" s="18"/>
    </row>
    <row r="25" spans="1:13" x14ac:dyDescent="0.25">
      <c r="A25" s="16" t="s">
        <v>28</v>
      </c>
      <c r="B25" s="17" t="s">
        <v>27</v>
      </c>
      <c r="C25" s="12">
        <v>428</v>
      </c>
      <c r="D25" s="42" t="s">
        <v>23</v>
      </c>
      <c r="E25" s="14">
        <v>17</v>
      </c>
      <c r="F25" s="12">
        <v>12000</v>
      </c>
      <c r="G25" s="12">
        <v>29300</v>
      </c>
      <c r="H25" s="43">
        <f t="shared" si="0"/>
        <v>17300</v>
      </c>
      <c r="I25" s="44">
        <v>11830</v>
      </c>
      <c r="J25" s="15">
        <v>17380</v>
      </c>
      <c r="K25" s="45">
        <f t="shared" si="2"/>
        <v>-80</v>
      </c>
      <c r="M25" s="18"/>
    </row>
    <row r="26" spans="1:13" x14ac:dyDescent="0.25">
      <c r="A26" s="16" t="s">
        <v>28</v>
      </c>
      <c r="B26" s="17" t="s">
        <v>27</v>
      </c>
      <c r="C26" s="12">
        <v>3930</v>
      </c>
      <c r="D26" s="42" t="s">
        <v>23</v>
      </c>
      <c r="E26" s="14">
        <v>23</v>
      </c>
      <c r="F26" s="12">
        <v>10700</v>
      </c>
      <c r="G26" s="12">
        <v>33800</v>
      </c>
      <c r="H26" s="43">
        <f t="shared" si="0"/>
        <v>23100</v>
      </c>
      <c r="I26" s="44">
        <f>IFERROR(VLOOKUP("CM-SHA 11-"&amp;C26,'[1]Light Weight'!B:C,2,0),"")</f>
        <v>10450</v>
      </c>
      <c r="J26" s="15">
        <v>23330</v>
      </c>
      <c r="K26" s="45">
        <f t="shared" si="2"/>
        <v>-230</v>
      </c>
      <c r="M26" s="18"/>
    </row>
    <row r="27" spans="1:13" x14ac:dyDescent="0.25">
      <c r="A27" s="16" t="s">
        <v>28</v>
      </c>
      <c r="B27" s="17" t="s">
        <v>27</v>
      </c>
      <c r="C27" s="12">
        <v>3932</v>
      </c>
      <c r="D27" s="42" t="s">
        <v>23</v>
      </c>
      <c r="E27" s="14">
        <v>18</v>
      </c>
      <c r="F27" s="12">
        <v>10700</v>
      </c>
      <c r="G27" s="12">
        <v>28900</v>
      </c>
      <c r="H27" s="43">
        <f t="shared" si="0"/>
        <v>18200</v>
      </c>
      <c r="I27" s="44">
        <f>IFERROR(VLOOKUP("CM-SHA 11-"&amp;C27,'[1]Light Weight'!B:C,2,0),"")</f>
        <v>10360</v>
      </c>
      <c r="J27" s="15">
        <v>18420</v>
      </c>
      <c r="K27" s="45">
        <f t="shared" si="2"/>
        <v>-220</v>
      </c>
      <c r="M27" s="18"/>
    </row>
    <row r="28" spans="1:13" x14ac:dyDescent="0.25">
      <c r="A28" s="16" t="s">
        <v>28</v>
      </c>
      <c r="B28" s="17" t="s">
        <v>27</v>
      </c>
      <c r="C28" s="12">
        <v>4410</v>
      </c>
      <c r="D28" s="42" t="s">
        <v>23</v>
      </c>
      <c r="E28" s="14">
        <v>18</v>
      </c>
      <c r="F28" s="12">
        <v>10700</v>
      </c>
      <c r="G28" s="12">
        <v>28900</v>
      </c>
      <c r="H28" s="43">
        <f t="shared" si="0"/>
        <v>18200</v>
      </c>
      <c r="I28" s="44">
        <f>IFERROR(VLOOKUP("CM-SHA 11-"&amp;C28,'[1]Light Weight'!B:C,2,0),"")</f>
        <v>10500</v>
      </c>
      <c r="J28" s="15">
        <v>18290</v>
      </c>
      <c r="K28" s="45">
        <f t="shared" ref="K28:K64" si="3">SUM(H28-J28)</f>
        <v>-90</v>
      </c>
      <c r="M28" s="18"/>
    </row>
    <row r="29" spans="1:13" x14ac:dyDescent="0.25">
      <c r="A29" s="16" t="s">
        <v>28</v>
      </c>
      <c r="B29" s="17" t="s">
        <v>27</v>
      </c>
      <c r="C29" s="12">
        <v>4114</v>
      </c>
      <c r="D29" s="42" t="s">
        <v>23</v>
      </c>
      <c r="E29" s="14">
        <v>18</v>
      </c>
      <c r="F29" s="12">
        <v>10700</v>
      </c>
      <c r="G29" s="12">
        <v>28900</v>
      </c>
      <c r="H29" s="43">
        <f t="shared" si="0"/>
        <v>18200</v>
      </c>
      <c r="I29" s="44">
        <f>IFERROR(VLOOKUP("CM-SHA 11-"&amp;C29,'[1]Light Weight'!B:C,2,0),"")</f>
        <v>10550</v>
      </c>
      <c r="J29" s="15">
        <v>18230</v>
      </c>
      <c r="K29" s="45">
        <f t="shared" si="3"/>
        <v>-30</v>
      </c>
      <c r="M29" s="18"/>
    </row>
    <row r="30" spans="1:13" x14ac:dyDescent="0.25">
      <c r="A30" s="16" t="s">
        <v>28</v>
      </c>
      <c r="B30" s="17" t="s">
        <v>27</v>
      </c>
      <c r="C30" s="12">
        <v>4402</v>
      </c>
      <c r="D30" s="42" t="s">
        <v>23</v>
      </c>
      <c r="E30" s="14">
        <v>18</v>
      </c>
      <c r="F30" s="12">
        <v>10700</v>
      </c>
      <c r="G30" s="12">
        <v>28900</v>
      </c>
      <c r="H30" s="43">
        <f t="shared" si="0"/>
        <v>18200</v>
      </c>
      <c r="I30" s="44">
        <f>IFERROR(VLOOKUP("CM-SHA 11-"&amp;C30,'[1]Light Weight'!B:C,2,0),"")</f>
        <v>10420</v>
      </c>
      <c r="J30" s="15">
        <v>18460</v>
      </c>
      <c r="K30" s="45">
        <f t="shared" si="3"/>
        <v>-260</v>
      </c>
      <c r="M30" s="18"/>
    </row>
    <row r="31" spans="1:13" x14ac:dyDescent="0.25">
      <c r="A31" s="16" t="s">
        <v>28</v>
      </c>
      <c r="B31" s="17" t="s">
        <v>27</v>
      </c>
      <c r="C31" s="12">
        <v>4411</v>
      </c>
      <c r="D31" s="42" t="s">
        <v>23</v>
      </c>
      <c r="E31" s="14">
        <v>18</v>
      </c>
      <c r="F31" s="12">
        <v>10700</v>
      </c>
      <c r="G31" s="12">
        <v>28900</v>
      </c>
      <c r="H31" s="43">
        <f t="shared" si="0"/>
        <v>18200</v>
      </c>
      <c r="I31" s="44">
        <f>IFERROR(VLOOKUP("CM-SHA 11-"&amp;C31,'[1]Light Weight'!B:C,2,0),"")</f>
        <v>10340</v>
      </c>
      <c r="J31" s="15">
        <v>18370</v>
      </c>
      <c r="K31" s="45">
        <f t="shared" si="3"/>
        <v>-170</v>
      </c>
      <c r="M31" s="18"/>
    </row>
    <row r="32" spans="1:13" x14ac:dyDescent="0.25">
      <c r="A32" s="16" t="s">
        <v>28</v>
      </c>
      <c r="B32" s="17" t="s">
        <v>27</v>
      </c>
      <c r="C32" s="12">
        <v>428</v>
      </c>
      <c r="D32" s="42" t="s">
        <v>23</v>
      </c>
      <c r="E32" s="14">
        <v>17</v>
      </c>
      <c r="F32" s="12">
        <v>11900</v>
      </c>
      <c r="G32" s="12">
        <v>29300</v>
      </c>
      <c r="H32" s="43">
        <f t="shared" si="0"/>
        <v>17400</v>
      </c>
      <c r="I32" s="44">
        <v>11810</v>
      </c>
      <c r="J32" s="15">
        <v>17420</v>
      </c>
      <c r="K32" s="45">
        <f t="shared" si="3"/>
        <v>-20</v>
      </c>
      <c r="M32" s="18"/>
    </row>
    <row r="33" spans="1:13" x14ac:dyDescent="0.25">
      <c r="A33" s="16" t="s">
        <v>28</v>
      </c>
      <c r="B33" s="17" t="s">
        <v>27</v>
      </c>
      <c r="C33" s="12">
        <v>428</v>
      </c>
      <c r="D33" s="42" t="s">
        <v>23</v>
      </c>
      <c r="E33" s="14">
        <v>17</v>
      </c>
      <c r="F33" s="12">
        <v>12100</v>
      </c>
      <c r="G33" s="12">
        <v>29300</v>
      </c>
      <c r="H33" s="43">
        <f t="shared" si="0"/>
        <v>17200</v>
      </c>
      <c r="I33" s="44">
        <v>11810</v>
      </c>
      <c r="J33" s="15">
        <v>17350</v>
      </c>
      <c r="K33" s="45">
        <f t="shared" si="3"/>
        <v>-150</v>
      </c>
      <c r="M33" s="18"/>
    </row>
    <row r="34" spans="1:13" x14ac:dyDescent="0.25">
      <c r="A34" s="16"/>
      <c r="B34" s="17"/>
      <c r="C34" s="12"/>
      <c r="D34" s="42" t="s">
        <v>23</v>
      </c>
      <c r="E34" s="14"/>
      <c r="F34" s="12"/>
      <c r="G34" s="12"/>
      <c r="H34" s="43">
        <f t="shared" si="0"/>
        <v>0</v>
      </c>
      <c r="I34" s="44" t="str">
        <f>IFERROR(VLOOKUP("CM-SHA 11-"&amp;C34,'[1]Light Weight'!B:C,2,0),"")</f>
        <v/>
      </c>
      <c r="J34" s="15"/>
      <c r="K34" s="45">
        <f t="shared" si="3"/>
        <v>0</v>
      </c>
      <c r="M34" s="18"/>
    </row>
    <row r="35" spans="1:13" x14ac:dyDescent="0.25">
      <c r="A35" s="16" t="s">
        <v>29</v>
      </c>
      <c r="B35" s="17" t="s">
        <v>25</v>
      </c>
      <c r="C35" s="12">
        <v>428</v>
      </c>
      <c r="D35" s="42" t="s">
        <v>23</v>
      </c>
      <c r="E35" s="14">
        <v>17</v>
      </c>
      <c r="F35" s="12">
        <v>11900</v>
      </c>
      <c r="G35" s="12">
        <v>29200</v>
      </c>
      <c r="H35" s="43">
        <f t="shared" si="0"/>
        <v>17300</v>
      </c>
      <c r="I35" s="44">
        <v>11790</v>
      </c>
      <c r="J35" s="15">
        <v>17470</v>
      </c>
      <c r="K35" s="45">
        <f t="shared" si="3"/>
        <v>-170</v>
      </c>
      <c r="M35" s="18"/>
    </row>
    <row r="36" spans="1:13" x14ac:dyDescent="0.25">
      <c r="A36" s="16" t="s">
        <v>29</v>
      </c>
      <c r="B36" s="17" t="s">
        <v>26</v>
      </c>
      <c r="C36" s="12">
        <v>3930</v>
      </c>
      <c r="D36" s="42" t="s">
        <v>23</v>
      </c>
      <c r="E36" s="14">
        <v>18</v>
      </c>
      <c r="F36" s="12">
        <v>10800</v>
      </c>
      <c r="G36" s="12">
        <v>29000</v>
      </c>
      <c r="H36" s="43">
        <f t="shared" si="0"/>
        <v>18200</v>
      </c>
      <c r="I36" s="44">
        <f>IFERROR(VLOOKUP("CM-SHA 11-"&amp;C36,'[1]Light Weight'!B:C,2,0),"")</f>
        <v>10450</v>
      </c>
      <c r="J36" s="15">
        <v>18440</v>
      </c>
      <c r="K36" s="45">
        <f t="shared" si="3"/>
        <v>-240</v>
      </c>
      <c r="M36" s="18"/>
    </row>
    <row r="37" spans="1:13" x14ac:dyDescent="0.25">
      <c r="A37" s="16" t="s">
        <v>29</v>
      </c>
      <c r="B37" s="17" t="s">
        <v>25</v>
      </c>
      <c r="C37" s="12">
        <v>428</v>
      </c>
      <c r="D37" s="42" t="s">
        <v>23</v>
      </c>
      <c r="E37" s="14">
        <v>17</v>
      </c>
      <c r="F37" s="12">
        <v>11900</v>
      </c>
      <c r="G37" s="12">
        <v>29400</v>
      </c>
      <c r="H37" s="43">
        <f t="shared" si="0"/>
        <v>17500</v>
      </c>
      <c r="I37" s="44">
        <v>11780</v>
      </c>
      <c r="J37" s="15">
        <v>17590</v>
      </c>
      <c r="K37" s="45">
        <f t="shared" si="3"/>
        <v>-90</v>
      </c>
      <c r="M37" s="18"/>
    </row>
    <row r="38" spans="1:13" x14ac:dyDescent="0.25">
      <c r="A38" s="16" t="s">
        <v>29</v>
      </c>
      <c r="B38" s="17" t="s">
        <v>27</v>
      </c>
      <c r="C38" s="12">
        <v>4115</v>
      </c>
      <c r="D38" s="42" t="s">
        <v>23</v>
      </c>
      <c r="E38" s="14">
        <v>18</v>
      </c>
      <c r="F38" s="12">
        <v>10900</v>
      </c>
      <c r="G38" s="12">
        <v>29200</v>
      </c>
      <c r="H38" s="43">
        <f t="shared" si="0"/>
        <v>18300</v>
      </c>
      <c r="I38" s="44">
        <f>IFERROR(VLOOKUP("CM-SHA 11-"&amp;C38,'[1]Light Weight'!B:C,2,0),"")</f>
        <v>10460</v>
      </c>
      <c r="J38" s="15">
        <v>18580</v>
      </c>
      <c r="K38" s="45">
        <f t="shared" si="3"/>
        <v>-280</v>
      </c>
      <c r="M38" s="18"/>
    </row>
    <row r="39" spans="1:13" x14ac:dyDescent="0.25">
      <c r="A39" s="16" t="s">
        <v>29</v>
      </c>
      <c r="B39" s="17" t="s">
        <v>27</v>
      </c>
      <c r="C39" s="12">
        <v>4113</v>
      </c>
      <c r="D39" s="42" t="s">
        <v>23</v>
      </c>
      <c r="E39" s="14">
        <v>18</v>
      </c>
      <c r="F39" s="12">
        <v>10700</v>
      </c>
      <c r="G39" s="12">
        <v>28900</v>
      </c>
      <c r="H39" s="43">
        <f t="shared" si="0"/>
        <v>18200</v>
      </c>
      <c r="I39" s="44">
        <f>IFERROR(VLOOKUP("CM-SHA 11-"&amp;C39,'[1]Light Weight'!B:C,2,0),"")</f>
        <v>10430</v>
      </c>
      <c r="J39" s="15">
        <v>18460</v>
      </c>
      <c r="K39" s="45">
        <f t="shared" si="3"/>
        <v>-260</v>
      </c>
      <c r="M39" s="18"/>
    </row>
    <row r="40" spans="1:13" x14ac:dyDescent="0.25">
      <c r="A40" s="16" t="s">
        <v>29</v>
      </c>
      <c r="B40" s="17" t="s">
        <v>27</v>
      </c>
      <c r="C40" s="12">
        <v>4413</v>
      </c>
      <c r="D40" s="42" t="s">
        <v>23</v>
      </c>
      <c r="E40" s="14">
        <v>23</v>
      </c>
      <c r="F40" s="12">
        <v>10800</v>
      </c>
      <c r="G40" s="12">
        <v>34200</v>
      </c>
      <c r="H40" s="43">
        <f t="shared" si="0"/>
        <v>23400</v>
      </c>
      <c r="I40" s="44">
        <f>IFERROR(VLOOKUP("CM-SHA 11-"&amp;C40,'[1]Light Weight'!B:C,2,0),"")</f>
        <v>10380</v>
      </c>
      <c r="J40" s="15">
        <v>23680</v>
      </c>
      <c r="K40" s="45">
        <f t="shared" si="3"/>
        <v>-280</v>
      </c>
      <c r="M40" s="18"/>
    </row>
    <row r="41" spans="1:13" x14ac:dyDescent="0.25">
      <c r="A41" s="16" t="s">
        <v>29</v>
      </c>
      <c r="B41" s="17" t="s">
        <v>27</v>
      </c>
      <c r="C41" s="12">
        <v>3932</v>
      </c>
      <c r="D41" s="42" t="s">
        <v>23</v>
      </c>
      <c r="E41" s="14">
        <v>23</v>
      </c>
      <c r="F41" s="12">
        <v>10600</v>
      </c>
      <c r="G41" s="12">
        <v>34000</v>
      </c>
      <c r="H41" s="43">
        <f t="shared" si="0"/>
        <v>23400</v>
      </c>
      <c r="I41" s="44">
        <f>IFERROR(VLOOKUP("CM-SHA 11-"&amp;C41,'[1]Light Weight'!B:C,2,0),"")</f>
        <v>10360</v>
      </c>
      <c r="J41" s="15">
        <v>23550</v>
      </c>
      <c r="K41" s="45">
        <f t="shared" si="3"/>
        <v>-150</v>
      </c>
      <c r="M41" s="18"/>
    </row>
    <row r="42" spans="1:13" x14ac:dyDescent="0.25">
      <c r="A42" s="16" t="s">
        <v>29</v>
      </c>
      <c r="B42" s="17" t="s">
        <v>26</v>
      </c>
      <c r="C42" s="12">
        <v>4415</v>
      </c>
      <c r="D42" s="42" t="s">
        <v>23</v>
      </c>
      <c r="E42" s="14">
        <v>22</v>
      </c>
      <c r="F42" s="12">
        <v>10800</v>
      </c>
      <c r="G42" s="12">
        <v>33200</v>
      </c>
      <c r="H42" s="43">
        <f t="shared" si="0"/>
        <v>22400</v>
      </c>
      <c r="I42" s="44">
        <f>IFERROR(VLOOKUP("CM-SHA 11-"&amp;C42,'[1]Light Weight'!B:C,2,0),"")</f>
        <v>10430</v>
      </c>
      <c r="J42" s="15">
        <v>22690</v>
      </c>
      <c r="K42" s="45">
        <f t="shared" si="3"/>
        <v>-290</v>
      </c>
      <c r="M42" s="18"/>
    </row>
    <row r="43" spans="1:13" x14ac:dyDescent="0.25">
      <c r="A43" s="16" t="s">
        <v>29</v>
      </c>
      <c r="B43" s="17" t="s">
        <v>27</v>
      </c>
      <c r="C43" s="12">
        <v>4408</v>
      </c>
      <c r="D43" s="42" t="s">
        <v>23</v>
      </c>
      <c r="E43" s="14">
        <v>22</v>
      </c>
      <c r="F43" s="12">
        <v>10700</v>
      </c>
      <c r="G43" s="12">
        <v>33100</v>
      </c>
      <c r="H43" s="43">
        <f t="shared" si="0"/>
        <v>22400</v>
      </c>
      <c r="I43" s="44">
        <f>IFERROR(VLOOKUP("CM-SHA 11-"&amp;C43,'[1]Light Weight'!B:C,2,0),"")</f>
        <v>10420</v>
      </c>
      <c r="J43" s="15">
        <v>22700</v>
      </c>
      <c r="K43" s="45">
        <f t="shared" si="3"/>
        <v>-300</v>
      </c>
      <c r="M43" s="18"/>
    </row>
    <row r="44" spans="1:13" x14ac:dyDescent="0.25">
      <c r="A44" s="16" t="s">
        <v>29</v>
      </c>
      <c r="B44" s="17" t="s">
        <v>26</v>
      </c>
      <c r="C44" s="12">
        <v>4414</v>
      </c>
      <c r="D44" s="42" t="s">
        <v>23</v>
      </c>
      <c r="E44" s="14">
        <v>22</v>
      </c>
      <c r="F44" s="12">
        <v>10800</v>
      </c>
      <c r="G44" s="12">
        <v>33200</v>
      </c>
      <c r="H44" s="43">
        <f t="shared" si="0"/>
        <v>22400</v>
      </c>
      <c r="I44" s="44">
        <f>IFERROR(VLOOKUP("CM-SHA 11-"&amp;C44,'[1]Light Weight'!B:C,2,0),"")</f>
        <v>10400</v>
      </c>
      <c r="J44" s="15">
        <v>22650</v>
      </c>
      <c r="K44" s="45">
        <f t="shared" si="3"/>
        <v>-250</v>
      </c>
      <c r="M44" s="18"/>
    </row>
    <row r="45" spans="1:13" x14ac:dyDescent="0.25">
      <c r="A45" s="16" t="s">
        <v>29</v>
      </c>
      <c r="B45" s="17" t="s">
        <v>27</v>
      </c>
      <c r="C45" s="12">
        <v>4402</v>
      </c>
      <c r="D45" s="42" t="s">
        <v>23</v>
      </c>
      <c r="E45" s="14">
        <v>22</v>
      </c>
      <c r="F45" s="12">
        <v>10800</v>
      </c>
      <c r="G45" s="12">
        <v>33100</v>
      </c>
      <c r="H45" s="43">
        <f t="shared" si="0"/>
        <v>22300</v>
      </c>
      <c r="I45" s="44">
        <f>IFERROR(VLOOKUP("CM-SHA 11-"&amp;C45,'[1]Light Weight'!B:C,2,0),"")</f>
        <v>10420</v>
      </c>
      <c r="J45" s="15">
        <v>22550</v>
      </c>
      <c r="K45" s="45">
        <f t="shared" si="3"/>
        <v>-250</v>
      </c>
      <c r="M45" s="18"/>
    </row>
    <row r="46" spans="1:13" x14ac:dyDescent="0.25">
      <c r="A46" s="16" t="s">
        <v>29</v>
      </c>
      <c r="B46" s="17" t="s">
        <v>26</v>
      </c>
      <c r="C46" s="12">
        <v>4405</v>
      </c>
      <c r="D46" s="42" t="s">
        <v>23</v>
      </c>
      <c r="E46" s="14">
        <v>22</v>
      </c>
      <c r="F46" s="12">
        <v>10700</v>
      </c>
      <c r="G46" s="12">
        <v>33400</v>
      </c>
      <c r="H46" s="43">
        <f t="shared" si="0"/>
        <v>22700</v>
      </c>
      <c r="I46" s="44">
        <f>IFERROR(VLOOKUP("CM-SHA 11-"&amp;C46,'[1]Light Weight'!B:C,2,0),"")</f>
        <v>10380</v>
      </c>
      <c r="J46" s="15">
        <v>22880</v>
      </c>
      <c r="K46" s="45">
        <f t="shared" si="3"/>
        <v>-180</v>
      </c>
      <c r="M46" s="18"/>
    </row>
    <row r="47" spans="1:13" x14ac:dyDescent="0.25">
      <c r="A47" s="16" t="s">
        <v>29</v>
      </c>
      <c r="B47" s="17" t="s">
        <v>27</v>
      </c>
      <c r="C47" s="12">
        <v>4412</v>
      </c>
      <c r="D47" s="42" t="s">
        <v>23</v>
      </c>
      <c r="E47" s="14">
        <v>22</v>
      </c>
      <c r="F47" s="12">
        <v>10800</v>
      </c>
      <c r="G47" s="12">
        <v>33200</v>
      </c>
      <c r="H47" s="43">
        <f t="shared" si="0"/>
        <v>22400</v>
      </c>
      <c r="I47" s="44">
        <f>IFERROR(VLOOKUP("CM-SHA 11-"&amp;C47,'[1]Light Weight'!B:C,2,0),"")</f>
        <v>10330</v>
      </c>
      <c r="J47" s="15">
        <v>22690</v>
      </c>
      <c r="K47" s="45">
        <f t="shared" si="3"/>
        <v>-290</v>
      </c>
      <c r="M47" s="18"/>
    </row>
    <row r="48" spans="1:13" x14ac:dyDescent="0.25">
      <c r="A48" s="16" t="s">
        <v>29</v>
      </c>
      <c r="B48" s="17" t="s">
        <v>26</v>
      </c>
      <c r="C48" s="12">
        <v>4403</v>
      </c>
      <c r="D48" s="42" t="s">
        <v>23</v>
      </c>
      <c r="E48" s="14">
        <v>22</v>
      </c>
      <c r="F48" s="12">
        <v>10900</v>
      </c>
      <c r="G48" s="12">
        <v>33200</v>
      </c>
      <c r="H48" s="43">
        <f t="shared" si="0"/>
        <v>22300</v>
      </c>
      <c r="I48" s="44">
        <f>IFERROR(VLOOKUP("CM-SHA 11-"&amp;C48,'[1]Light Weight'!B:C,2,0),"")</f>
        <v>10480</v>
      </c>
      <c r="J48" s="15">
        <v>22650</v>
      </c>
      <c r="K48" s="45">
        <f t="shared" si="3"/>
        <v>-350</v>
      </c>
      <c r="M48" s="18"/>
    </row>
    <row r="49" spans="1:13" x14ac:dyDescent="0.25">
      <c r="A49" s="16" t="s">
        <v>29</v>
      </c>
      <c r="B49" s="17" t="s">
        <v>26</v>
      </c>
      <c r="C49" s="12">
        <v>3929</v>
      </c>
      <c r="D49" s="42" t="s">
        <v>23</v>
      </c>
      <c r="E49" s="14">
        <v>22</v>
      </c>
      <c r="F49" s="12">
        <v>10900</v>
      </c>
      <c r="G49" s="12">
        <v>33100</v>
      </c>
      <c r="H49" s="43">
        <f t="shared" si="0"/>
        <v>22200</v>
      </c>
      <c r="I49" s="44">
        <f>IFERROR(VLOOKUP("CM-SHA 11-"&amp;C49,'[1]Light Weight'!B:C,2,0),"")</f>
        <v>10400</v>
      </c>
      <c r="J49" s="15">
        <v>22530</v>
      </c>
      <c r="K49" s="45">
        <f t="shared" si="3"/>
        <v>-330</v>
      </c>
      <c r="M49" s="18"/>
    </row>
    <row r="50" spans="1:13" x14ac:dyDescent="0.25">
      <c r="A50" s="16" t="s">
        <v>29</v>
      </c>
      <c r="B50" s="17" t="s">
        <v>27</v>
      </c>
      <c r="C50" s="12">
        <v>3933</v>
      </c>
      <c r="D50" s="42" t="s">
        <v>23</v>
      </c>
      <c r="E50" s="14">
        <v>22</v>
      </c>
      <c r="F50" s="12">
        <v>10800</v>
      </c>
      <c r="G50" s="12">
        <v>33000</v>
      </c>
      <c r="H50" s="43">
        <f t="shared" si="0"/>
        <v>22200</v>
      </c>
      <c r="I50" s="44">
        <f>IFERROR(VLOOKUP("CM-SHA 11-"&amp;C50,'[1]Light Weight'!B:C,2,0),"")</f>
        <v>10410</v>
      </c>
      <c r="J50" s="15">
        <v>22570</v>
      </c>
      <c r="K50" s="45">
        <f t="shared" si="3"/>
        <v>-370</v>
      </c>
      <c r="M50" s="18"/>
    </row>
    <row r="51" spans="1:13" x14ac:dyDescent="0.25">
      <c r="A51" s="16" t="s">
        <v>29</v>
      </c>
      <c r="B51" s="17" t="s">
        <v>27</v>
      </c>
      <c r="C51" s="12">
        <v>4409</v>
      </c>
      <c r="D51" s="42" t="s">
        <v>23</v>
      </c>
      <c r="E51" s="14">
        <v>22</v>
      </c>
      <c r="F51" s="12">
        <v>10700</v>
      </c>
      <c r="G51" s="12">
        <v>33100</v>
      </c>
      <c r="H51" s="43">
        <f t="shared" si="0"/>
        <v>22400</v>
      </c>
      <c r="I51" s="44">
        <f>IFERROR(VLOOKUP("CM-SHA 11-"&amp;C51,'[1]Light Weight'!B:C,2,0),"")</f>
        <v>10450</v>
      </c>
      <c r="J51" s="15">
        <v>22620</v>
      </c>
      <c r="K51" s="45">
        <f t="shared" si="3"/>
        <v>-220</v>
      </c>
      <c r="M51" s="18"/>
    </row>
    <row r="52" spans="1:13" x14ac:dyDescent="0.25">
      <c r="A52" s="16" t="s">
        <v>29</v>
      </c>
      <c r="B52" s="17" t="s">
        <v>27</v>
      </c>
      <c r="C52" s="12">
        <v>4410</v>
      </c>
      <c r="D52" s="42" t="s">
        <v>23</v>
      </c>
      <c r="E52" s="14">
        <v>22</v>
      </c>
      <c r="F52" s="12">
        <v>10800</v>
      </c>
      <c r="G52" s="12">
        <v>32800</v>
      </c>
      <c r="H52" s="43">
        <f t="shared" si="0"/>
        <v>22000</v>
      </c>
      <c r="I52" s="44">
        <f>IFERROR(VLOOKUP("CM-SHA 11-"&amp;C52,'[1]Light Weight'!B:C,2,0),"")</f>
        <v>10500</v>
      </c>
      <c r="J52" s="15">
        <v>22310</v>
      </c>
      <c r="K52" s="45">
        <f t="shared" si="3"/>
        <v>-310</v>
      </c>
      <c r="M52" s="18"/>
    </row>
    <row r="53" spans="1:13" x14ac:dyDescent="0.25">
      <c r="A53" s="16" t="s">
        <v>29</v>
      </c>
      <c r="B53" s="17" t="s">
        <v>27</v>
      </c>
      <c r="C53" s="12">
        <v>4404</v>
      </c>
      <c r="D53" s="42" t="s">
        <v>23</v>
      </c>
      <c r="E53" s="14">
        <v>22</v>
      </c>
      <c r="F53" s="12">
        <v>10900</v>
      </c>
      <c r="G53" s="12">
        <v>32900</v>
      </c>
      <c r="H53" s="43">
        <f t="shared" si="0"/>
        <v>22000</v>
      </c>
      <c r="I53" s="44">
        <f>IFERROR(VLOOKUP("CM-SHA 11-"&amp;C53,'[1]Light Weight'!B:C,2,0),"")</f>
        <v>10550</v>
      </c>
      <c r="J53" s="15">
        <v>22300</v>
      </c>
      <c r="K53" s="45">
        <f t="shared" si="3"/>
        <v>-300</v>
      </c>
      <c r="M53" s="18"/>
    </row>
    <row r="54" spans="1:13" x14ac:dyDescent="0.25">
      <c r="A54" s="16" t="s">
        <v>29</v>
      </c>
      <c r="B54" s="17" t="s">
        <v>27</v>
      </c>
      <c r="C54" s="12">
        <v>4413</v>
      </c>
      <c r="D54" s="42" t="s">
        <v>23</v>
      </c>
      <c r="E54" s="14">
        <v>22</v>
      </c>
      <c r="F54" s="12">
        <v>10800</v>
      </c>
      <c r="G54" s="12">
        <v>33000</v>
      </c>
      <c r="H54" s="43">
        <f t="shared" si="0"/>
        <v>22200</v>
      </c>
      <c r="I54" s="44">
        <f>IFERROR(VLOOKUP("CM-SHA 11-"&amp;C54,'[1]Light Weight'!B:C,2,0),"")</f>
        <v>10380</v>
      </c>
      <c r="J54" s="15">
        <v>22420</v>
      </c>
      <c r="K54" s="45">
        <f t="shared" si="3"/>
        <v>-220</v>
      </c>
      <c r="M54" s="18"/>
    </row>
    <row r="55" spans="1:13" x14ac:dyDescent="0.25">
      <c r="A55" s="16" t="s">
        <v>29</v>
      </c>
      <c r="B55" s="17" t="s">
        <v>27</v>
      </c>
      <c r="C55" s="12">
        <v>428</v>
      </c>
      <c r="D55" s="42" t="s">
        <v>23</v>
      </c>
      <c r="E55" s="14">
        <v>17</v>
      </c>
      <c r="F55" s="12">
        <v>12100</v>
      </c>
      <c r="G55" s="12">
        <v>29300</v>
      </c>
      <c r="H55" s="43">
        <f t="shared" si="0"/>
        <v>17200</v>
      </c>
      <c r="I55" s="44">
        <v>11860</v>
      </c>
      <c r="J55" s="15">
        <v>17320</v>
      </c>
      <c r="K55" s="45">
        <f t="shared" si="3"/>
        <v>-120</v>
      </c>
      <c r="M55" s="18"/>
    </row>
    <row r="56" spans="1:13" x14ac:dyDescent="0.25">
      <c r="A56" s="16"/>
      <c r="B56" s="17"/>
      <c r="C56" s="12"/>
      <c r="D56" s="42" t="s">
        <v>23</v>
      </c>
      <c r="E56" s="14"/>
      <c r="F56" s="12"/>
      <c r="G56" s="12"/>
      <c r="H56" s="43">
        <f t="shared" si="0"/>
        <v>0</v>
      </c>
      <c r="I56" s="44" t="str">
        <f>IFERROR(VLOOKUP("CM-SHA 11-"&amp;C56,'[1]Light Weight'!B:C,2,0),"")</f>
        <v/>
      </c>
      <c r="J56" s="15"/>
      <c r="K56" s="45">
        <f t="shared" si="3"/>
        <v>0</v>
      </c>
      <c r="M56" s="18"/>
    </row>
    <row r="57" spans="1:13" x14ac:dyDescent="0.25">
      <c r="A57" s="16" t="s">
        <v>30</v>
      </c>
      <c r="B57" s="17" t="s">
        <v>26</v>
      </c>
      <c r="C57" s="12">
        <v>4402</v>
      </c>
      <c r="D57" s="42" t="s">
        <v>23</v>
      </c>
      <c r="E57" s="14">
        <v>23</v>
      </c>
      <c r="F57" s="12">
        <v>10800</v>
      </c>
      <c r="G57" s="12">
        <v>34200</v>
      </c>
      <c r="H57" s="43">
        <f t="shared" si="0"/>
        <v>23400</v>
      </c>
      <c r="I57" s="44">
        <f>IFERROR(VLOOKUP("CM-SHA 11-"&amp;C57,'[1]Light Weight'!B:C,2,0),"")</f>
        <v>10420</v>
      </c>
      <c r="J57" s="15">
        <v>23610</v>
      </c>
      <c r="K57" s="45">
        <f t="shared" si="3"/>
        <v>-210</v>
      </c>
      <c r="M57" s="18"/>
    </row>
    <row r="58" spans="1:13" x14ac:dyDescent="0.25">
      <c r="A58" s="16" t="s">
        <v>30</v>
      </c>
      <c r="B58" s="17" t="s">
        <v>26</v>
      </c>
      <c r="C58" s="12">
        <v>428</v>
      </c>
      <c r="D58" s="42" t="s">
        <v>23</v>
      </c>
      <c r="E58" s="14">
        <v>17</v>
      </c>
      <c r="F58" s="12">
        <v>12000</v>
      </c>
      <c r="G58" s="12">
        <v>29300</v>
      </c>
      <c r="H58" s="43">
        <f t="shared" si="0"/>
        <v>17300</v>
      </c>
      <c r="I58" s="44">
        <v>11800</v>
      </c>
      <c r="J58" s="15">
        <v>17440</v>
      </c>
      <c r="K58" s="45">
        <f t="shared" si="3"/>
        <v>-140</v>
      </c>
      <c r="M58" s="18"/>
    </row>
    <row r="59" spans="1:13" x14ac:dyDescent="0.25">
      <c r="A59" s="16" t="s">
        <v>30</v>
      </c>
      <c r="B59" s="17" t="s">
        <v>27</v>
      </c>
      <c r="C59" s="12">
        <v>4113</v>
      </c>
      <c r="D59" s="42" t="s">
        <v>23</v>
      </c>
      <c r="E59" s="14">
        <v>22</v>
      </c>
      <c r="F59" s="12">
        <v>10700</v>
      </c>
      <c r="G59" s="12">
        <v>33100</v>
      </c>
      <c r="H59" s="43">
        <f t="shared" si="0"/>
        <v>22400</v>
      </c>
      <c r="I59" s="44">
        <f>IFERROR(VLOOKUP("CM-SHA 11-"&amp;C59,'[1]Light Weight'!B:C,2,0),"")</f>
        <v>10430</v>
      </c>
      <c r="J59" s="15">
        <v>22740</v>
      </c>
      <c r="K59" s="45">
        <f t="shared" si="3"/>
        <v>-340</v>
      </c>
      <c r="M59" s="18"/>
    </row>
    <row r="60" spans="1:13" x14ac:dyDescent="0.25">
      <c r="A60" s="16" t="s">
        <v>30</v>
      </c>
      <c r="B60" s="17" t="s">
        <v>27</v>
      </c>
      <c r="C60" s="12">
        <v>4411</v>
      </c>
      <c r="D60" s="42" t="s">
        <v>23</v>
      </c>
      <c r="E60" s="14">
        <v>22</v>
      </c>
      <c r="F60" s="12">
        <v>10800</v>
      </c>
      <c r="G60" s="12">
        <v>33200</v>
      </c>
      <c r="H60" s="43">
        <f t="shared" si="0"/>
        <v>22400</v>
      </c>
      <c r="I60" s="44">
        <f>IFERROR(VLOOKUP("CM-SHA 11-"&amp;C60,'[1]Light Weight'!B:C,2,0),"")</f>
        <v>10340</v>
      </c>
      <c r="J60" s="15">
        <v>22680</v>
      </c>
      <c r="K60" s="45">
        <f t="shared" si="3"/>
        <v>-280</v>
      </c>
      <c r="M60" s="18"/>
    </row>
    <row r="61" spans="1:13" x14ac:dyDescent="0.25">
      <c r="A61" s="16" t="s">
        <v>30</v>
      </c>
      <c r="B61" s="17" t="s">
        <v>27</v>
      </c>
      <c r="C61" s="12">
        <v>4115</v>
      </c>
      <c r="D61" s="42" t="s">
        <v>23</v>
      </c>
      <c r="E61" s="14">
        <v>22</v>
      </c>
      <c r="F61" s="12">
        <v>10800</v>
      </c>
      <c r="G61" s="12">
        <v>33100</v>
      </c>
      <c r="H61" s="43">
        <f t="shared" si="0"/>
        <v>22300</v>
      </c>
      <c r="I61" s="44">
        <f>IFERROR(VLOOKUP("CM-SHA 11-"&amp;C61,'[1]Light Weight'!B:C,2,0),"")</f>
        <v>10460</v>
      </c>
      <c r="J61" s="15">
        <v>22610</v>
      </c>
      <c r="K61" s="45">
        <f t="shared" si="3"/>
        <v>-310</v>
      </c>
      <c r="M61" s="18"/>
    </row>
    <row r="62" spans="1:13" x14ac:dyDescent="0.25">
      <c r="A62" s="16" t="s">
        <v>30</v>
      </c>
      <c r="B62" s="17" t="s">
        <v>27</v>
      </c>
      <c r="C62" s="12">
        <v>3931</v>
      </c>
      <c r="D62" s="42" t="s">
        <v>23</v>
      </c>
      <c r="E62" s="14">
        <v>23</v>
      </c>
      <c r="F62" s="12">
        <v>10700</v>
      </c>
      <c r="G62" s="12">
        <v>34000</v>
      </c>
      <c r="H62" s="43">
        <f t="shared" si="0"/>
        <v>23300</v>
      </c>
      <c r="I62" s="44">
        <f>IFERROR(VLOOKUP("CM-SHA 11-"&amp;C62,'[1]Light Weight'!B:C,2,0),"")</f>
        <v>10520</v>
      </c>
      <c r="J62" s="15">
        <v>23590</v>
      </c>
      <c r="K62" s="45">
        <f t="shared" si="3"/>
        <v>-290</v>
      </c>
      <c r="M62" s="18"/>
    </row>
    <row r="63" spans="1:13" x14ac:dyDescent="0.25">
      <c r="A63" s="16" t="s">
        <v>30</v>
      </c>
      <c r="B63" s="17" t="s">
        <v>27</v>
      </c>
      <c r="C63" s="12">
        <v>4409</v>
      </c>
      <c r="D63" s="42" t="s">
        <v>23</v>
      </c>
      <c r="E63" s="14">
        <v>23</v>
      </c>
      <c r="F63" s="12">
        <v>10800</v>
      </c>
      <c r="G63" s="12">
        <v>34100</v>
      </c>
      <c r="H63" s="43">
        <f t="shared" si="0"/>
        <v>23300</v>
      </c>
      <c r="I63" s="44">
        <f>IFERROR(VLOOKUP("CM-SHA 11-"&amp;C63,'[1]Light Weight'!B:C,2,0),"")</f>
        <v>10450</v>
      </c>
      <c r="J63" s="15">
        <v>23540</v>
      </c>
      <c r="K63" s="45">
        <f t="shared" si="3"/>
        <v>-240</v>
      </c>
      <c r="M63" s="18"/>
    </row>
    <row r="64" spans="1:13" x14ac:dyDescent="0.25">
      <c r="A64" s="16" t="s">
        <v>30</v>
      </c>
      <c r="B64" s="17" t="s">
        <v>27</v>
      </c>
      <c r="C64" s="12">
        <v>428</v>
      </c>
      <c r="D64" s="42" t="s">
        <v>23</v>
      </c>
      <c r="E64" s="14">
        <v>17</v>
      </c>
      <c r="F64" s="12">
        <v>12000</v>
      </c>
      <c r="G64" s="12">
        <v>29300</v>
      </c>
      <c r="H64" s="43">
        <f t="shared" si="0"/>
        <v>17300</v>
      </c>
      <c r="I64" s="44">
        <v>11790</v>
      </c>
      <c r="J64" s="15">
        <v>17570</v>
      </c>
      <c r="K64" s="45">
        <f t="shared" si="3"/>
        <v>-270</v>
      </c>
      <c r="M64" s="18"/>
    </row>
    <row r="65" spans="1:13" x14ac:dyDescent="0.25">
      <c r="A65" s="16"/>
      <c r="B65" s="17"/>
      <c r="C65" s="12"/>
      <c r="D65" s="42" t="s">
        <v>23</v>
      </c>
      <c r="E65" s="14"/>
      <c r="F65" s="12"/>
      <c r="G65" s="12"/>
      <c r="H65" s="43">
        <f t="shared" si="0"/>
        <v>0</v>
      </c>
      <c r="I65" s="44" t="str">
        <f>IFERROR(VLOOKUP("CM-SHA 11-"&amp;C65,'[1]Light Weight'!B:C,2,0),"")</f>
        <v/>
      </c>
      <c r="J65" s="15"/>
      <c r="K65" s="45">
        <f t="shared" si="2"/>
        <v>0</v>
      </c>
      <c r="M65" s="18"/>
    </row>
    <row r="66" spans="1:13" x14ac:dyDescent="0.25">
      <c r="A66" s="16" t="s">
        <v>31</v>
      </c>
      <c r="B66" s="17" t="s">
        <v>25</v>
      </c>
      <c r="C66" s="12">
        <v>4414</v>
      </c>
      <c r="D66" s="42" t="s">
        <v>23</v>
      </c>
      <c r="E66" s="14">
        <v>22</v>
      </c>
      <c r="F66" s="12">
        <v>10800</v>
      </c>
      <c r="G66" s="12">
        <v>33000</v>
      </c>
      <c r="H66" s="43">
        <f t="shared" si="0"/>
        <v>22200</v>
      </c>
      <c r="I66" s="44">
        <f>IFERROR(VLOOKUP("CM-SHA 11-"&amp;C66,'[1]Light Weight'!B:C,2,0),"")</f>
        <v>10400</v>
      </c>
      <c r="J66" s="15">
        <v>22470</v>
      </c>
      <c r="K66" s="45">
        <f t="shared" si="2"/>
        <v>-270</v>
      </c>
      <c r="M66" s="18"/>
    </row>
    <row r="67" spans="1:13" x14ac:dyDescent="0.25">
      <c r="A67" s="16" t="s">
        <v>31</v>
      </c>
      <c r="B67" s="17" t="s">
        <v>25</v>
      </c>
      <c r="C67" s="12">
        <v>428</v>
      </c>
      <c r="D67" s="42" t="s">
        <v>23</v>
      </c>
      <c r="E67" s="14">
        <v>17</v>
      </c>
      <c r="F67" s="12">
        <v>11900</v>
      </c>
      <c r="G67" s="12">
        <v>29300</v>
      </c>
      <c r="H67" s="43">
        <f t="shared" si="0"/>
        <v>17400</v>
      </c>
      <c r="I67" s="44">
        <v>11790</v>
      </c>
      <c r="J67" s="15">
        <v>17540</v>
      </c>
      <c r="K67" s="45">
        <f t="shared" si="2"/>
        <v>-140</v>
      </c>
      <c r="M67" s="18"/>
    </row>
    <row r="68" spans="1:13" x14ac:dyDescent="0.25">
      <c r="A68" s="16" t="s">
        <v>31</v>
      </c>
      <c r="B68" s="17" t="s">
        <v>25</v>
      </c>
      <c r="C68" s="12">
        <v>2322</v>
      </c>
      <c r="D68" s="42" t="s">
        <v>23</v>
      </c>
      <c r="E68" s="14">
        <v>24</v>
      </c>
      <c r="F68" s="12">
        <v>12300</v>
      </c>
      <c r="G68" s="12">
        <v>36800</v>
      </c>
      <c r="H68" s="43">
        <f t="shared" si="0"/>
        <v>24500</v>
      </c>
      <c r="I68" s="44">
        <v>12130</v>
      </c>
      <c r="J68" s="15">
        <v>24650</v>
      </c>
      <c r="K68" s="45">
        <f t="shared" si="2"/>
        <v>-150</v>
      </c>
      <c r="M68" s="18"/>
    </row>
    <row r="69" spans="1:13" x14ac:dyDescent="0.25">
      <c r="A69" s="16" t="s">
        <v>31</v>
      </c>
      <c r="B69" s="17" t="s">
        <v>25</v>
      </c>
      <c r="C69" s="12">
        <v>3932</v>
      </c>
      <c r="D69" s="42" t="s">
        <v>23</v>
      </c>
      <c r="E69" s="14">
        <v>18</v>
      </c>
      <c r="F69" s="12">
        <v>10700</v>
      </c>
      <c r="G69" s="12">
        <v>29100</v>
      </c>
      <c r="H69" s="43">
        <f t="shared" si="0"/>
        <v>18400</v>
      </c>
      <c r="I69" s="44">
        <f>IFERROR(VLOOKUP("CM-SHA 11-"&amp;C69,'[1]Light Weight'!B:C,2,0),"")</f>
        <v>10360</v>
      </c>
      <c r="J69" s="15">
        <v>18620</v>
      </c>
      <c r="K69" s="45">
        <f t="shared" si="2"/>
        <v>-220</v>
      </c>
      <c r="M69" s="18"/>
    </row>
    <row r="70" spans="1:13" x14ac:dyDescent="0.25">
      <c r="A70" s="16" t="s">
        <v>31</v>
      </c>
      <c r="B70" s="17" t="s">
        <v>25</v>
      </c>
      <c r="C70" s="12">
        <v>4416</v>
      </c>
      <c r="D70" s="42" t="s">
        <v>23</v>
      </c>
      <c r="E70" s="14">
        <v>18</v>
      </c>
      <c r="F70" s="12">
        <v>10800</v>
      </c>
      <c r="G70" s="12">
        <v>29100</v>
      </c>
      <c r="H70" s="43">
        <f t="shared" si="0"/>
        <v>18300</v>
      </c>
      <c r="I70" s="44">
        <v>10390</v>
      </c>
      <c r="J70" s="15">
        <v>18560</v>
      </c>
      <c r="K70" s="45">
        <f t="shared" si="2"/>
        <v>-260</v>
      </c>
      <c r="M70" s="18"/>
    </row>
    <row r="71" spans="1:13" x14ac:dyDescent="0.25">
      <c r="A71" s="16" t="s">
        <v>31</v>
      </c>
      <c r="B71" s="17" t="s">
        <v>25</v>
      </c>
      <c r="C71" s="12">
        <v>3930</v>
      </c>
      <c r="D71" s="42" t="s">
        <v>23</v>
      </c>
      <c r="E71" s="14">
        <v>18</v>
      </c>
      <c r="F71" s="12">
        <v>10800</v>
      </c>
      <c r="G71" s="12">
        <v>29100</v>
      </c>
      <c r="H71" s="43">
        <f t="shared" ref="H71:H201" si="4">G71-F71</f>
        <v>18300</v>
      </c>
      <c r="I71" s="44">
        <f>IFERROR(VLOOKUP("CM-SHA 11-"&amp;C71,'[1]Light Weight'!B:C,2,0),"")</f>
        <v>10450</v>
      </c>
      <c r="J71" s="15">
        <v>18610</v>
      </c>
      <c r="K71" s="45">
        <f t="shared" ref="K71:K203" si="5">SUM(H71-J71)</f>
        <v>-310</v>
      </c>
      <c r="M71" s="18"/>
    </row>
    <row r="72" spans="1:13" x14ac:dyDescent="0.25">
      <c r="A72" s="16" t="s">
        <v>31</v>
      </c>
      <c r="B72" s="17" t="s">
        <v>26</v>
      </c>
      <c r="C72" s="12">
        <v>428</v>
      </c>
      <c r="D72" s="42" t="s">
        <v>23</v>
      </c>
      <c r="E72" s="14">
        <v>17</v>
      </c>
      <c r="F72" s="12">
        <v>12100</v>
      </c>
      <c r="G72" s="12">
        <v>29300</v>
      </c>
      <c r="H72" s="43">
        <f t="shared" si="4"/>
        <v>17200</v>
      </c>
      <c r="I72" s="44">
        <v>11750</v>
      </c>
      <c r="J72" s="15">
        <v>17390</v>
      </c>
      <c r="K72" s="45">
        <f t="shared" si="5"/>
        <v>-190</v>
      </c>
      <c r="M72" s="18"/>
    </row>
    <row r="73" spans="1:13" x14ac:dyDescent="0.25">
      <c r="A73" s="16" t="s">
        <v>31</v>
      </c>
      <c r="B73" s="17" t="s">
        <v>26</v>
      </c>
      <c r="C73" s="12">
        <v>2322</v>
      </c>
      <c r="D73" s="42" t="s">
        <v>23</v>
      </c>
      <c r="E73" s="14">
        <v>24</v>
      </c>
      <c r="F73" s="12">
        <v>12300</v>
      </c>
      <c r="G73" s="12">
        <v>36800</v>
      </c>
      <c r="H73" s="43">
        <f t="shared" si="4"/>
        <v>24500</v>
      </c>
      <c r="I73" s="44">
        <v>12210</v>
      </c>
      <c r="J73" s="15">
        <v>24610</v>
      </c>
      <c r="K73" s="45">
        <f t="shared" si="5"/>
        <v>-110</v>
      </c>
      <c r="M73" s="18"/>
    </row>
    <row r="74" spans="1:13" x14ac:dyDescent="0.25">
      <c r="A74" s="16" t="s">
        <v>31</v>
      </c>
      <c r="B74" s="17" t="s">
        <v>26</v>
      </c>
      <c r="C74" s="12">
        <v>4403</v>
      </c>
      <c r="D74" s="42" t="s">
        <v>23</v>
      </c>
      <c r="E74" s="14">
        <v>23</v>
      </c>
      <c r="F74" s="12">
        <v>10800</v>
      </c>
      <c r="G74" s="12">
        <v>33800</v>
      </c>
      <c r="H74" s="43">
        <f t="shared" si="4"/>
        <v>23000</v>
      </c>
      <c r="I74" s="44">
        <f>IFERROR(VLOOKUP("CM-SHA 11-"&amp;C74,'[1]Light Weight'!B:C,2,0),"")</f>
        <v>10480</v>
      </c>
      <c r="J74" s="15">
        <v>23290</v>
      </c>
      <c r="K74" s="45">
        <f t="shared" si="5"/>
        <v>-290</v>
      </c>
      <c r="M74" s="18"/>
    </row>
    <row r="75" spans="1:13" x14ac:dyDescent="0.25">
      <c r="A75" s="16" t="s">
        <v>31</v>
      </c>
      <c r="B75" s="17" t="s">
        <v>26</v>
      </c>
      <c r="C75" s="12">
        <v>2322</v>
      </c>
      <c r="D75" s="42" t="s">
        <v>23</v>
      </c>
      <c r="E75" s="14">
        <v>24</v>
      </c>
      <c r="F75" s="12">
        <v>12200</v>
      </c>
      <c r="G75" s="12">
        <v>36900</v>
      </c>
      <c r="H75" s="43">
        <f t="shared" si="4"/>
        <v>24700</v>
      </c>
      <c r="I75" s="44">
        <v>12250</v>
      </c>
      <c r="J75" s="15">
        <v>24760</v>
      </c>
      <c r="K75" s="45">
        <f t="shared" si="5"/>
        <v>-60</v>
      </c>
      <c r="M75" s="18"/>
    </row>
    <row r="76" spans="1:13" x14ac:dyDescent="0.25">
      <c r="A76" s="16" t="s">
        <v>31</v>
      </c>
      <c r="B76" s="17" t="s">
        <v>26</v>
      </c>
      <c r="C76" s="12">
        <v>4115</v>
      </c>
      <c r="D76" s="42" t="s">
        <v>23</v>
      </c>
      <c r="E76" s="14">
        <v>23</v>
      </c>
      <c r="F76" s="12">
        <v>10800</v>
      </c>
      <c r="G76" s="12">
        <v>34100</v>
      </c>
      <c r="H76" s="43">
        <f t="shared" si="4"/>
        <v>23300</v>
      </c>
      <c r="I76" s="44">
        <f>IFERROR(VLOOKUP("CM-SHA 11-"&amp;C76,'[1]Light Weight'!B:C,2,0),"")</f>
        <v>10460</v>
      </c>
      <c r="J76" s="15">
        <v>23550</v>
      </c>
      <c r="K76" s="45">
        <f t="shared" si="5"/>
        <v>-250</v>
      </c>
      <c r="M76" s="18"/>
    </row>
    <row r="77" spans="1:13" x14ac:dyDescent="0.25">
      <c r="A77" s="16" t="s">
        <v>31</v>
      </c>
      <c r="B77" s="17" t="s">
        <v>26</v>
      </c>
      <c r="C77" s="12">
        <v>428</v>
      </c>
      <c r="D77" s="42" t="s">
        <v>23</v>
      </c>
      <c r="E77" s="14">
        <v>17</v>
      </c>
      <c r="F77" s="12">
        <v>12200</v>
      </c>
      <c r="G77" s="12">
        <v>29300</v>
      </c>
      <c r="H77" s="43">
        <f t="shared" si="4"/>
        <v>17100</v>
      </c>
      <c r="I77" s="44">
        <v>11840</v>
      </c>
      <c r="J77" s="15">
        <v>17430</v>
      </c>
      <c r="K77" s="45">
        <f t="shared" si="5"/>
        <v>-330</v>
      </c>
      <c r="M77" s="18"/>
    </row>
    <row r="78" spans="1:13" x14ac:dyDescent="0.25">
      <c r="A78" s="16" t="s">
        <v>31</v>
      </c>
      <c r="B78" s="17" t="s">
        <v>27</v>
      </c>
      <c r="C78" s="12">
        <v>4405</v>
      </c>
      <c r="D78" s="42" t="s">
        <v>23</v>
      </c>
      <c r="E78" s="14">
        <v>22</v>
      </c>
      <c r="F78" s="12">
        <v>10700</v>
      </c>
      <c r="G78" s="12">
        <v>33100</v>
      </c>
      <c r="H78" s="43">
        <f t="shared" si="4"/>
        <v>22400</v>
      </c>
      <c r="I78" s="44">
        <f>IFERROR(VLOOKUP("CM-SHA 11-"&amp;C78,'[1]Light Weight'!B:C,2,0),"")</f>
        <v>10380</v>
      </c>
      <c r="J78" s="15">
        <v>22640</v>
      </c>
      <c r="K78" s="45">
        <f t="shared" si="5"/>
        <v>-240</v>
      </c>
      <c r="M78" s="18"/>
    </row>
    <row r="79" spans="1:13" x14ac:dyDescent="0.25">
      <c r="A79" s="16" t="s">
        <v>31</v>
      </c>
      <c r="B79" s="17" t="s">
        <v>27</v>
      </c>
      <c r="C79" s="12">
        <v>4414</v>
      </c>
      <c r="D79" s="42" t="s">
        <v>23</v>
      </c>
      <c r="E79" s="14">
        <v>22</v>
      </c>
      <c r="F79" s="12">
        <v>10800</v>
      </c>
      <c r="G79" s="12">
        <v>32900</v>
      </c>
      <c r="H79" s="43">
        <f t="shared" si="4"/>
        <v>22100</v>
      </c>
      <c r="I79" s="44">
        <f>IFERROR(VLOOKUP("CM-SHA 11-"&amp;C79,'[1]Light Weight'!B:C,2,0),"")</f>
        <v>10400</v>
      </c>
      <c r="J79" s="15">
        <v>22390</v>
      </c>
      <c r="K79" s="45">
        <f t="shared" si="5"/>
        <v>-290</v>
      </c>
      <c r="M79" s="18"/>
    </row>
    <row r="80" spans="1:13" x14ac:dyDescent="0.25">
      <c r="A80" s="16" t="s">
        <v>31</v>
      </c>
      <c r="B80" s="17" t="s">
        <v>27</v>
      </c>
      <c r="C80" s="12">
        <v>4413</v>
      </c>
      <c r="D80" s="42" t="s">
        <v>23</v>
      </c>
      <c r="E80" s="14">
        <v>22</v>
      </c>
      <c r="F80" s="12">
        <v>10800</v>
      </c>
      <c r="G80" s="12">
        <v>32900</v>
      </c>
      <c r="H80" s="43">
        <f t="shared" si="4"/>
        <v>22100</v>
      </c>
      <c r="I80" s="44">
        <f>IFERROR(VLOOKUP("CM-SHA 11-"&amp;C80,'[1]Light Weight'!B:C,2,0),"")</f>
        <v>10380</v>
      </c>
      <c r="J80" s="15">
        <v>22460</v>
      </c>
      <c r="K80" s="45">
        <f t="shared" si="5"/>
        <v>-360</v>
      </c>
      <c r="M80" s="18"/>
    </row>
    <row r="81" spans="1:13" x14ac:dyDescent="0.25">
      <c r="A81" s="16" t="s">
        <v>31</v>
      </c>
      <c r="B81" s="17" t="s">
        <v>27</v>
      </c>
      <c r="C81" s="12">
        <v>4415</v>
      </c>
      <c r="D81" s="42" t="s">
        <v>23</v>
      </c>
      <c r="E81" s="14">
        <v>22</v>
      </c>
      <c r="F81" s="12">
        <v>10700</v>
      </c>
      <c r="G81" s="12">
        <v>33000</v>
      </c>
      <c r="H81" s="43">
        <f t="shared" si="4"/>
        <v>22300</v>
      </c>
      <c r="I81" s="44">
        <f>IFERROR(VLOOKUP("CM-SHA 11-"&amp;C81,'[1]Light Weight'!B:C,2,0),"")</f>
        <v>10430</v>
      </c>
      <c r="J81" s="15">
        <v>22620</v>
      </c>
      <c r="K81" s="45">
        <f t="shared" si="5"/>
        <v>-320</v>
      </c>
      <c r="M81" s="18"/>
    </row>
    <row r="82" spans="1:13" x14ac:dyDescent="0.25">
      <c r="A82" s="16" t="s">
        <v>31</v>
      </c>
      <c r="B82" s="17" t="s">
        <v>27</v>
      </c>
      <c r="C82" s="12">
        <v>4113</v>
      </c>
      <c r="D82" s="42" t="s">
        <v>23</v>
      </c>
      <c r="E82" s="14">
        <v>20</v>
      </c>
      <c r="F82" s="12">
        <v>10700</v>
      </c>
      <c r="G82" s="12">
        <v>31000</v>
      </c>
      <c r="H82" s="43">
        <f t="shared" si="4"/>
        <v>20300</v>
      </c>
      <c r="I82" s="44">
        <f>IFERROR(VLOOKUP("CM-SHA 11-"&amp;C82,'[1]Light Weight'!B:C,2,0),"")</f>
        <v>10430</v>
      </c>
      <c r="J82" s="15">
        <v>20610</v>
      </c>
      <c r="K82" s="45">
        <f t="shared" si="5"/>
        <v>-310</v>
      </c>
      <c r="M82" s="18"/>
    </row>
    <row r="83" spans="1:13" x14ac:dyDescent="0.25">
      <c r="A83" s="16" t="s">
        <v>31</v>
      </c>
      <c r="B83" s="17" t="s">
        <v>27</v>
      </c>
      <c r="C83" s="12">
        <v>428</v>
      </c>
      <c r="D83" s="42" t="s">
        <v>23</v>
      </c>
      <c r="E83" s="14">
        <v>17</v>
      </c>
      <c r="F83" s="12">
        <v>12100</v>
      </c>
      <c r="G83" s="12">
        <v>29400</v>
      </c>
      <c r="H83" s="43">
        <f t="shared" si="4"/>
        <v>17300</v>
      </c>
      <c r="I83" s="44">
        <v>11900</v>
      </c>
      <c r="J83" s="15">
        <v>17470</v>
      </c>
      <c r="K83" s="45">
        <f t="shared" si="5"/>
        <v>-170</v>
      </c>
      <c r="M83" s="18"/>
    </row>
    <row r="84" spans="1:13" x14ac:dyDescent="0.25">
      <c r="A84" s="16" t="s">
        <v>31</v>
      </c>
      <c r="B84" s="17" t="s">
        <v>27</v>
      </c>
      <c r="C84" s="12">
        <v>428</v>
      </c>
      <c r="D84" s="42" t="s">
        <v>23</v>
      </c>
      <c r="E84" s="14">
        <v>17</v>
      </c>
      <c r="F84" s="12">
        <v>12100</v>
      </c>
      <c r="G84" s="12">
        <v>29300</v>
      </c>
      <c r="H84" s="43">
        <f t="shared" si="4"/>
        <v>17200</v>
      </c>
      <c r="I84" s="44">
        <v>11900</v>
      </c>
      <c r="J84" s="15">
        <v>17320</v>
      </c>
      <c r="K84" s="45">
        <f t="shared" si="5"/>
        <v>-120</v>
      </c>
      <c r="M84" s="18"/>
    </row>
    <row r="85" spans="1:13" x14ac:dyDescent="0.25">
      <c r="A85" s="16" t="s">
        <v>31</v>
      </c>
      <c r="B85" s="17" t="s">
        <v>27</v>
      </c>
      <c r="C85" s="12">
        <v>428</v>
      </c>
      <c r="D85" s="42" t="s">
        <v>23</v>
      </c>
      <c r="E85" s="14">
        <v>17</v>
      </c>
      <c r="F85" s="12">
        <v>12000</v>
      </c>
      <c r="G85" s="12">
        <v>29400</v>
      </c>
      <c r="H85" s="43">
        <f t="shared" si="4"/>
        <v>17400</v>
      </c>
      <c r="I85" s="44">
        <v>11860</v>
      </c>
      <c r="J85" s="15">
        <v>17440</v>
      </c>
      <c r="K85" s="45">
        <f t="shared" si="5"/>
        <v>-40</v>
      </c>
      <c r="M85" s="18"/>
    </row>
    <row r="86" spans="1:13" x14ac:dyDescent="0.25">
      <c r="A86" s="16"/>
      <c r="B86" s="17"/>
      <c r="C86" s="12"/>
      <c r="D86" s="42" t="s">
        <v>23</v>
      </c>
      <c r="E86" s="14"/>
      <c r="F86" s="12"/>
      <c r="G86" s="12"/>
      <c r="H86" s="43">
        <f t="shared" si="4"/>
        <v>0</v>
      </c>
      <c r="I86" s="44" t="str">
        <f>IFERROR(VLOOKUP("CM-SHA 11-"&amp;C86,'[1]Light Weight'!B:C,2,0),"")</f>
        <v/>
      </c>
      <c r="J86" s="15"/>
      <c r="K86" s="45">
        <f t="shared" si="5"/>
        <v>0</v>
      </c>
      <c r="M86" s="18"/>
    </row>
    <row r="87" spans="1:13" x14ac:dyDescent="0.25">
      <c r="A87" s="16" t="s">
        <v>32</v>
      </c>
      <c r="B87" s="17" t="s">
        <v>26</v>
      </c>
      <c r="C87" s="12">
        <v>4408</v>
      </c>
      <c r="D87" s="42" t="s">
        <v>23</v>
      </c>
      <c r="E87" s="14">
        <v>23</v>
      </c>
      <c r="F87" s="12">
        <v>10800</v>
      </c>
      <c r="G87" s="12">
        <v>33900</v>
      </c>
      <c r="H87" s="43">
        <f t="shared" si="4"/>
        <v>23100</v>
      </c>
      <c r="I87" s="44">
        <f>IFERROR(VLOOKUP("CM-SHA 11-"&amp;C87,'[1]Light Weight'!B:C,2,0),"")</f>
        <v>10420</v>
      </c>
      <c r="J87" s="15">
        <v>23460</v>
      </c>
      <c r="K87" s="45">
        <f t="shared" si="5"/>
        <v>-360</v>
      </c>
      <c r="M87" s="18"/>
    </row>
    <row r="88" spans="1:13" x14ac:dyDescent="0.25">
      <c r="A88" s="16" t="s">
        <v>32</v>
      </c>
      <c r="B88" s="17" t="s">
        <v>26</v>
      </c>
      <c r="C88" s="12">
        <v>428</v>
      </c>
      <c r="D88" s="42" t="s">
        <v>23</v>
      </c>
      <c r="E88" s="14">
        <v>17</v>
      </c>
      <c r="F88" s="12">
        <v>12100</v>
      </c>
      <c r="G88" s="12">
        <v>29400</v>
      </c>
      <c r="H88" s="43">
        <f t="shared" si="4"/>
        <v>17300</v>
      </c>
      <c r="I88" s="44">
        <v>11870</v>
      </c>
      <c r="J88" s="15">
        <v>17450</v>
      </c>
      <c r="K88" s="45">
        <f t="shared" si="5"/>
        <v>-150</v>
      </c>
      <c r="M88" s="18"/>
    </row>
    <row r="89" spans="1:13" x14ac:dyDescent="0.25">
      <c r="A89" s="16" t="s">
        <v>32</v>
      </c>
      <c r="B89" s="17" t="s">
        <v>25</v>
      </c>
      <c r="C89" s="12">
        <v>4112</v>
      </c>
      <c r="D89" s="42" t="s">
        <v>23</v>
      </c>
      <c r="E89" s="14">
        <v>22</v>
      </c>
      <c r="F89" s="12">
        <v>10700</v>
      </c>
      <c r="G89" s="12">
        <v>32900</v>
      </c>
      <c r="H89" s="43">
        <f t="shared" si="4"/>
        <v>22200</v>
      </c>
      <c r="I89" s="44">
        <f>IFERROR(VLOOKUP("CM-SHA 11-"&amp;C89,'[1]Light Weight'!B:C,2,0),"")</f>
        <v>10460</v>
      </c>
      <c r="J89" s="15">
        <v>22370</v>
      </c>
      <c r="K89" s="45">
        <f t="shared" si="5"/>
        <v>-170</v>
      </c>
      <c r="M89" s="18"/>
    </row>
    <row r="90" spans="1:13" x14ac:dyDescent="0.25">
      <c r="A90" s="16" t="s">
        <v>32</v>
      </c>
      <c r="B90" s="17" t="s">
        <v>27</v>
      </c>
      <c r="C90" s="12">
        <v>4404</v>
      </c>
      <c r="D90" s="42" t="s">
        <v>23</v>
      </c>
      <c r="E90" s="14">
        <v>22</v>
      </c>
      <c r="F90" s="12">
        <v>10700</v>
      </c>
      <c r="G90" s="12">
        <v>33000</v>
      </c>
      <c r="H90" s="43">
        <f t="shared" si="4"/>
        <v>22300</v>
      </c>
      <c r="I90" s="44">
        <f>IFERROR(VLOOKUP("CM-SHA 11-"&amp;C90,'[1]Light Weight'!B:C,2,0),"")</f>
        <v>10550</v>
      </c>
      <c r="J90" s="15">
        <v>22300</v>
      </c>
      <c r="K90" s="45">
        <f t="shared" si="5"/>
        <v>0</v>
      </c>
      <c r="M90" s="18"/>
    </row>
    <row r="91" spans="1:13" x14ac:dyDescent="0.25">
      <c r="A91" s="16" t="s">
        <v>32</v>
      </c>
      <c r="B91" s="17" t="s">
        <v>27</v>
      </c>
      <c r="C91" s="12">
        <v>4412</v>
      </c>
      <c r="D91" s="42" t="s">
        <v>23</v>
      </c>
      <c r="E91" s="14">
        <v>22</v>
      </c>
      <c r="F91" s="12">
        <v>10700</v>
      </c>
      <c r="G91" s="12">
        <v>32900</v>
      </c>
      <c r="H91" s="43">
        <f t="shared" si="4"/>
        <v>22200</v>
      </c>
      <c r="I91" s="44">
        <f>IFERROR(VLOOKUP("CM-SHA 11-"&amp;C91,'[1]Light Weight'!B:C,2,0),"")</f>
        <v>10330</v>
      </c>
      <c r="J91" s="15">
        <v>22570</v>
      </c>
      <c r="K91" s="45">
        <f t="shared" si="5"/>
        <v>-370</v>
      </c>
      <c r="M91" s="18"/>
    </row>
    <row r="92" spans="1:13" x14ac:dyDescent="0.25">
      <c r="A92" s="16" t="s">
        <v>32</v>
      </c>
      <c r="B92" s="17" t="s">
        <v>27</v>
      </c>
      <c r="C92" s="12">
        <v>4411</v>
      </c>
      <c r="D92" s="42" t="s">
        <v>23</v>
      </c>
      <c r="E92" s="14">
        <v>22</v>
      </c>
      <c r="F92" s="12">
        <v>10700</v>
      </c>
      <c r="G92" s="12">
        <v>32900</v>
      </c>
      <c r="H92" s="43">
        <f t="shared" si="4"/>
        <v>22200</v>
      </c>
      <c r="I92" s="44">
        <f>IFERROR(VLOOKUP("CM-SHA 11-"&amp;C92,'[1]Light Weight'!B:C,2,0),"")</f>
        <v>10340</v>
      </c>
      <c r="J92" s="15">
        <v>22390</v>
      </c>
      <c r="K92" s="45">
        <f t="shared" si="5"/>
        <v>-190</v>
      </c>
      <c r="M92" s="18"/>
    </row>
    <row r="93" spans="1:13" x14ac:dyDescent="0.25">
      <c r="A93" s="16" t="s">
        <v>32</v>
      </c>
      <c r="B93" s="17" t="s">
        <v>27</v>
      </c>
      <c r="C93" s="12">
        <v>4402</v>
      </c>
      <c r="D93" s="42" t="s">
        <v>23</v>
      </c>
      <c r="E93" s="14">
        <v>22</v>
      </c>
      <c r="F93" s="12">
        <v>10700</v>
      </c>
      <c r="G93" s="12">
        <v>33000</v>
      </c>
      <c r="H93" s="43">
        <f t="shared" si="4"/>
        <v>22300</v>
      </c>
      <c r="I93" s="44">
        <f>IFERROR(VLOOKUP("CM-SHA 11-"&amp;C93,'[1]Light Weight'!B:C,2,0),"")</f>
        <v>10420</v>
      </c>
      <c r="J93" s="15">
        <v>22550</v>
      </c>
      <c r="K93" s="45">
        <f t="shared" si="5"/>
        <v>-250</v>
      </c>
      <c r="M93" s="18"/>
    </row>
    <row r="94" spans="1:13" x14ac:dyDescent="0.25">
      <c r="A94" s="16" t="s">
        <v>32</v>
      </c>
      <c r="B94" s="17" t="s">
        <v>27</v>
      </c>
      <c r="C94" s="12">
        <v>4112</v>
      </c>
      <c r="D94" s="42" t="s">
        <v>23</v>
      </c>
      <c r="E94" s="14">
        <v>22</v>
      </c>
      <c r="F94" s="12">
        <v>10700</v>
      </c>
      <c r="G94" s="12">
        <v>33000</v>
      </c>
      <c r="H94" s="43">
        <f t="shared" si="4"/>
        <v>22300</v>
      </c>
      <c r="I94" s="44">
        <f>IFERROR(VLOOKUP("CM-SHA 11-"&amp;C94,'[1]Light Weight'!B:C,2,0),"")</f>
        <v>10460</v>
      </c>
      <c r="J94" s="15">
        <v>22580</v>
      </c>
      <c r="K94" s="45">
        <f t="shared" si="5"/>
        <v>-280</v>
      </c>
      <c r="M94" s="18"/>
    </row>
    <row r="95" spans="1:13" x14ac:dyDescent="0.25">
      <c r="A95" s="16" t="s">
        <v>32</v>
      </c>
      <c r="B95" s="17" t="s">
        <v>27</v>
      </c>
      <c r="C95" s="12">
        <v>428</v>
      </c>
      <c r="D95" s="42" t="s">
        <v>23</v>
      </c>
      <c r="E95" s="14">
        <v>17</v>
      </c>
      <c r="F95" s="12">
        <v>12000</v>
      </c>
      <c r="G95" s="12">
        <v>29300</v>
      </c>
      <c r="H95" s="43">
        <f t="shared" si="4"/>
        <v>17300</v>
      </c>
      <c r="I95" s="44">
        <v>11870</v>
      </c>
      <c r="J95" s="15">
        <v>17380</v>
      </c>
      <c r="K95" s="45">
        <f t="shared" si="5"/>
        <v>-80</v>
      </c>
      <c r="M95" s="18"/>
    </row>
    <row r="96" spans="1:13" x14ac:dyDescent="0.25">
      <c r="A96" s="16" t="s">
        <v>32</v>
      </c>
      <c r="B96" s="17" t="s">
        <v>27</v>
      </c>
      <c r="C96" s="12">
        <v>4408</v>
      </c>
      <c r="D96" s="42" t="s">
        <v>23</v>
      </c>
      <c r="E96" s="14">
        <v>22</v>
      </c>
      <c r="F96" s="12">
        <v>10700</v>
      </c>
      <c r="G96" s="12">
        <v>32800</v>
      </c>
      <c r="H96" s="43">
        <f t="shared" si="4"/>
        <v>22100</v>
      </c>
      <c r="I96" s="44">
        <f>IFERROR(VLOOKUP("CM-SHA 11-"&amp;C96,'[1]Light Weight'!B:C,2,0),"")</f>
        <v>10420</v>
      </c>
      <c r="J96" s="15">
        <v>22460</v>
      </c>
      <c r="K96" s="45">
        <f t="shared" si="5"/>
        <v>-360</v>
      </c>
      <c r="M96" s="18"/>
    </row>
    <row r="97" spans="1:13" x14ac:dyDescent="0.25">
      <c r="A97" s="16" t="s">
        <v>32</v>
      </c>
      <c r="B97" s="17" t="s">
        <v>27</v>
      </c>
      <c r="C97" s="12">
        <v>428</v>
      </c>
      <c r="D97" s="42" t="s">
        <v>23</v>
      </c>
      <c r="E97" s="14">
        <v>17</v>
      </c>
      <c r="F97" s="12">
        <v>12000</v>
      </c>
      <c r="G97" s="12">
        <v>29400</v>
      </c>
      <c r="H97" s="43">
        <f t="shared" si="4"/>
        <v>17400</v>
      </c>
      <c r="I97" s="44">
        <v>11850</v>
      </c>
      <c r="J97" s="15">
        <v>17400</v>
      </c>
      <c r="K97" s="45">
        <f t="shared" si="5"/>
        <v>0</v>
      </c>
      <c r="M97" s="18"/>
    </row>
    <row r="98" spans="1:13" x14ac:dyDescent="0.25">
      <c r="A98" s="16"/>
      <c r="B98" s="17"/>
      <c r="C98" s="12"/>
      <c r="D98" s="42" t="s">
        <v>23</v>
      </c>
      <c r="E98" s="14"/>
      <c r="F98" s="12"/>
      <c r="G98" s="12"/>
      <c r="H98" s="43">
        <f t="shared" si="4"/>
        <v>0</v>
      </c>
      <c r="I98" s="44" t="str">
        <f>IFERROR(VLOOKUP("CM-SHA 11-"&amp;C98,'[1]Light Weight'!B:C,2,0),"")</f>
        <v/>
      </c>
      <c r="J98" s="15"/>
      <c r="K98" s="45">
        <f t="shared" si="5"/>
        <v>0</v>
      </c>
      <c r="M98" s="18"/>
    </row>
    <row r="99" spans="1:13" x14ac:dyDescent="0.25">
      <c r="A99" s="16" t="s">
        <v>33</v>
      </c>
      <c r="B99" s="17" t="s">
        <v>25</v>
      </c>
      <c r="C99" s="12">
        <v>4411</v>
      </c>
      <c r="D99" s="42" t="s">
        <v>23</v>
      </c>
      <c r="E99" s="14">
        <v>23</v>
      </c>
      <c r="F99" s="12">
        <v>10700</v>
      </c>
      <c r="G99" s="12">
        <v>34000</v>
      </c>
      <c r="H99" s="43">
        <f t="shared" si="4"/>
        <v>23300</v>
      </c>
      <c r="I99" s="44">
        <f>IFERROR(VLOOKUP("CM-SHA 11-"&amp;C99,'[1]Light Weight'!B:C,2,0),"")</f>
        <v>10340</v>
      </c>
      <c r="J99" s="15">
        <v>23580</v>
      </c>
      <c r="K99" s="45">
        <f t="shared" si="5"/>
        <v>-280</v>
      </c>
      <c r="M99" s="18"/>
    </row>
    <row r="100" spans="1:13" x14ac:dyDescent="0.25">
      <c r="A100" s="16" t="s">
        <v>33</v>
      </c>
      <c r="B100" s="17" t="s">
        <v>25</v>
      </c>
      <c r="C100" s="12">
        <v>4409</v>
      </c>
      <c r="D100" s="42" t="s">
        <v>23</v>
      </c>
      <c r="E100" s="14">
        <v>18</v>
      </c>
      <c r="F100" s="12">
        <v>10800</v>
      </c>
      <c r="G100" s="12">
        <v>29000</v>
      </c>
      <c r="H100" s="43">
        <f t="shared" si="4"/>
        <v>18200</v>
      </c>
      <c r="I100" s="44">
        <f>IFERROR(VLOOKUP("CM-SHA 11-"&amp;C100,'[1]Light Weight'!B:C,2,0),"")</f>
        <v>10450</v>
      </c>
      <c r="J100" s="15">
        <v>18350</v>
      </c>
      <c r="K100" s="45">
        <f t="shared" si="5"/>
        <v>-150</v>
      </c>
      <c r="M100" s="18"/>
    </row>
    <row r="101" spans="1:13" x14ac:dyDescent="0.25">
      <c r="A101" s="16" t="s">
        <v>33</v>
      </c>
      <c r="B101" s="17" t="s">
        <v>25</v>
      </c>
      <c r="C101" s="12">
        <v>4403</v>
      </c>
      <c r="D101" s="42" t="s">
        <v>23</v>
      </c>
      <c r="E101" s="14">
        <v>18</v>
      </c>
      <c r="F101" s="12">
        <v>10800</v>
      </c>
      <c r="G101" s="12">
        <v>29000</v>
      </c>
      <c r="H101" s="43">
        <f t="shared" si="4"/>
        <v>18200</v>
      </c>
      <c r="I101" s="44">
        <f>IFERROR(VLOOKUP("CM-SHA 11-"&amp;C101,'[1]Light Weight'!B:C,2,0),"")</f>
        <v>10480</v>
      </c>
      <c r="J101" s="15">
        <v>18510</v>
      </c>
      <c r="K101" s="45">
        <f t="shared" si="5"/>
        <v>-310</v>
      </c>
      <c r="M101" s="18"/>
    </row>
    <row r="102" spans="1:13" x14ac:dyDescent="0.25">
      <c r="A102" s="16" t="s">
        <v>33</v>
      </c>
      <c r="B102" s="17" t="s">
        <v>25</v>
      </c>
      <c r="C102" s="12">
        <v>3933</v>
      </c>
      <c r="D102" s="42" t="s">
        <v>23</v>
      </c>
      <c r="E102" s="14">
        <v>18</v>
      </c>
      <c r="F102" s="12">
        <v>10800</v>
      </c>
      <c r="G102" s="12">
        <v>29200</v>
      </c>
      <c r="H102" s="43">
        <f t="shared" si="4"/>
        <v>18400</v>
      </c>
      <c r="I102" s="44">
        <f>IFERROR(VLOOKUP("CM-SHA 11-"&amp;C102,'[1]Light Weight'!B:C,2,0),"")</f>
        <v>10410</v>
      </c>
      <c r="J102" s="15">
        <v>18640</v>
      </c>
      <c r="K102" s="45">
        <f t="shared" si="5"/>
        <v>-240</v>
      </c>
      <c r="M102" s="18"/>
    </row>
    <row r="103" spans="1:13" x14ac:dyDescent="0.25">
      <c r="A103" s="16" t="s">
        <v>33</v>
      </c>
      <c r="B103" s="17" t="s">
        <v>26</v>
      </c>
      <c r="C103" s="12">
        <v>428</v>
      </c>
      <c r="D103" s="42" t="s">
        <v>23</v>
      </c>
      <c r="E103" s="14">
        <v>17</v>
      </c>
      <c r="F103" s="12">
        <v>11900</v>
      </c>
      <c r="G103" s="12">
        <v>29400</v>
      </c>
      <c r="H103" s="43">
        <f t="shared" si="4"/>
        <v>17500</v>
      </c>
      <c r="I103" s="44">
        <v>11790</v>
      </c>
      <c r="J103" s="15">
        <v>17640</v>
      </c>
      <c r="K103" s="45">
        <f t="shared" si="5"/>
        <v>-140</v>
      </c>
      <c r="M103" s="18"/>
    </row>
    <row r="104" spans="1:13" x14ac:dyDescent="0.25">
      <c r="A104" s="16" t="s">
        <v>33</v>
      </c>
      <c r="B104" s="17" t="s">
        <v>27</v>
      </c>
      <c r="C104" s="12">
        <v>4411</v>
      </c>
      <c r="D104" s="42" t="s">
        <v>23</v>
      </c>
      <c r="E104" s="14">
        <v>22</v>
      </c>
      <c r="F104" s="12">
        <v>10700</v>
      </c>
      <c r="G104" s="12">
        <v>33000</v>
      </c>
      <c r="H104" s="43">
        <f t="shared" si="4"/>
        <v>22300</v>
      </c>
      <c r="I104" s="44">
        <f>IFERROR(VLOOKUP("CM-SHA 11-"&amp;C104,'[1]Light Weight'!B:C,2,0),"")</f>
        <v>10340</v>
      </c>
      <c r="J104" s="15">
        <v>22560</v>
      </c>
      <c r="K104" s="45">
        <f t="shared" si="5"/>
        <v>-260</v>
      </c>
      <c r="M104" s="18"/>
    </row>
    <row r="105" spans="1:13" x14ac:dyDescent="0.25">
      <c r="A105" s="16" t="s">
        <v>33</v>
      </c>
      <c r="B105" s="17" t="s">
        <v>27</v>
      </c>
      <c r="C105" s="12">
        <v>4113</v>
      </c>
      <c r="D105" s="42" t="s">
        <v>23</v>
      </c>
      <c r="E105" s="14">
        <v>22</v>
      </c>
      <c r="F105" s="12">
        <v>10700</v>
      </c>
      <c r="G105" s="12">
        <v>33100</v>
      </c>
      <c r="H105" s="43">
        <f t="shared" si="4"/>
        <v>22400</v>
      </c>
      <c r="I105" s="44">
        <f>IFERROR(VLOOKUP("CM-SHA 11-"&amp;C105,'[1]Light Weight'!B:C,2,0),"")</f>
        <v>10430</v>
      </c>
      <c r="J105" s="15">
        <v>22630</v>
      </c>
      <c r="K105" s="45">
        <f t="shared" si="5"/>
        <v>-230</v>
      </c>
      <c r="M105" s="18"/>
    </row>
    <row r="106" spans="1:13" x14ac:dyDescent="0.25">
      <c r="A106" s="16" t="s">
        <v>33</v>
      </c>
      <c r="B106" s="17" t="s">
        <v>27</v>
      </c>
      <c r="C106" s="12">
        <v>4115</v>
      </c>
      <c r="D106" s="42" t="s">
        <v>23</v>
      </c>
      <c r="E106" s="14">
        <v>22</v>
      </c>
      <c r="F106" s="12">
        <v>10800</v>
      </c>
      <c r="G106" s="12">
        <v>33200</v>
      </c>
      <c r="H106" s="43">
        <f t="shared" si="4"/>
        <v>22400</v>
      </c>
      <c r="I106" s="44">
        <f>IFERROR(VLOOKUP("CM-SHA 11-"&amp;C106,'[1]Light Weight'!B:C,2,0),"")</f>
        <v>10460</v>
      </c>
      <c r="J106" s="15">
        <v>22610</v>
      </c>
      <c r="K106" s="45">
        <f t="shared" si="5"/>
        <v>-210</v>
      </c>
      <c r="M106" s="18"/>
    </row>
    <row r="107" spans="1:13" x14ac:dyDescent="0.25">
      <c r="A107" s="16" t="s">
        <v>33</v>
      </c>
      <c r="B107" s="17" t="s">
        <v>27</v>
      </c>
      <c r="C107" s="12">
        <v>4416</v>
      </c>
      <c r="D107" s="42" t="s">
        <v>23</v>
      </c>
      <c r="E107" s="14">
        <v>22</v>
      </c>
      <c r="F107" s="12">
        <v>10600</v>
      </c>
      <c r="G107" s="12">
        <v>33100</v>
      </c>
      <c r="H107" s="43">
        <f t="shared" si="4"/>
        <v>22500</v>
      </c>
      <c r="I107" s="44">
        <v>10390</v>
      </c>
      <c r="J107" s="15">
        <v>22720</v>
      </c>
      <c r="K107" s="45">
        <f t="shared" si="5"/>
        <v>-220</v>
      </c>
      <c r="M107" s="18"/>
    </row>
    <row r="108" spans="1:13" x14ac:dyDescent="0.25">
      <c r="A108" s="16" t="s">
        <v>33</v>
      </c>
      <c r="B108" s="17" t="s">
        <v>27</v>
      </c>
      <c r="C108" s="12">
        <v>428</v>
      </c>
      <c r="D108" s="42" t="s">
        <v>23</v>
      </c>
      <c r="E108" s="14">
        <v>17</v>
      </c>
      <c r="F108" s="12">
        <v>12000</v>
      </c>
      <c r="G108" s="12">
        <v>29400</v>
      </c>
      <c r="H108" s="43">
        <f t="shared" si="4"/>
        <v>17400</v>
      </c>
      <c r="I108" s="44">
        <v>10770</v>
      </c>
      <c r="J108" s="15">
        <v>17590</v>
      </c>
      <c r="K108" s="45">
        <f t="shared" si="5"/>
        <v>-190</v>
      </c>
      <c r="M108" s="18"/>
    </row>
    <row r="109" spans="1:13" x14ac:dyDescent="0.25">
      <c r="A109" s="16" t="s">
        <v>33</v>
      </c>
      <c r="B109" s="17" t="s">
        <v>27</v>
      </c>
      <c r="C109" s="12">
        <v>3929</v>
      </c>
      <c r="D109" s="42" t="s">
        <v>23</v>
      </c>
      <c r="E109" s="14">
        <v>22</v>
      </c>
      <c r="F109" s="12">
        <v>10700</v>
      </c>
      <c r="G109" s="12">
        <v>33000</v>
      </c>
      <c r="H109" s="43">
        <f t="shared" si="4"/>
        <v>22300</v>
      </c>
      <c r="I109" s="44">
        <f>IFERROR(VLOOKUP("CM-SHA 11-"&amp;C109,'[1]Light Weight'!B:C,2,0),"")</f>
        <v>10400</v>
      </c>
      <c r="J109" s="15">
        <v>22360</v>
      </c>
      <c r="K109" s="45">
        <f t="shared" si="5"/>
        <v>-60</v>
      </c>
      <c r="M109" s="18"/>
    </row>
    <row r="110" spans="1:13" x14ac:dyDescent="0.25">
      <c r="A110" s="16" t="s">
        <v>33</v>
      </c>
      <c r="B110" s="17" t="s">
        <v>27</v>
      </c>
      <c r="C110" s="12">
        <v>3931</v>
      </c>
      <c r="D110" s="42" t="s">
        <v>23</v>
      </c>
      <c r="E110" s="14">
        <v>22</v>
      </c>
      <c r="F110" s="12">
        <v>10700</v>
      </c>
      <c r="G110" s="12">
        <v>33000</v>
      </c>
      <c r="H110" s="43">
        <f t="shared" si="4"/>
        <v>22300</v>
      </c>
      <c r="I110" s="44">
        <f>IFERROR(VLOOKUP("CM-SHA 11-"&amp;C110,'[1]Light Weight'!B:C,2,0),"")</f>
        <v>10520</v>
      </c>
      <c r="J110" s="15">
        <v>22420</v>
      </c>
      <c r="K110" s="45">
        <f t="shared" si="5"/>
        <v>-120</v>
      </c>
      <c r="M110" s="18"/>
    </row>
    <row r="111" spans="1:13" x14ac:dyDescent="0.25">
      <c r="A111" s="16" t="s">
        <v>33</v>
      </c>
      <c r="B111" s="17" t="s">
        <v>27</v>
      </c>
      <c r="C111" s="12">
        <v>428</v>
      </c>
      <c r="D111" s="42" t="s">
        <v>23</v>
      </c>
      <c r="E111" s="14">
        <v>17</v>
      </c>
      <c r="F111" s="12">
        <v>12000</v>
      </c>
      <c r="G111" s="12">
        <v>29300</v>
      </c>
      <c r="H111" s="43">
        <f t="shared" si="4"/>
        <v>17300</v>
      </c>
      <c r="I111" s="44">
        <v>11780</v>
      </c>
      <c r="J111" s="15">
        <v>17430</v>
      </c>
      <c r="K111" s="45">
        <f t="shared" si="5"/>
        <v>-130</v>
      </c>
      <c r="M111" s="18"/>
    </row>
    <row r="112" spans="1:13" x14ac:dyDescent="0.25">
      <c r="A112" s="16"/>
      <c r="B112" s="17"/>
      <c r="C112" s="12"/>
      <c r="D112" s="42" t="s">
        <v>23</v>
      </c>
      <c r="E112" s="14"/>
      <c r="F112" s="12"/>
      <c r="G112" s="12"/>
      <c r="H112" s="43">
        <f t="shared" si="4"/>
        <v>0</v>
      </c>
      <c r="I112" s="44" t="str">
        <f>IFERROR(VLOOKUP("CM-SHA 11-"&amp;C112,'[1]Light Weight'!B:C,2,0),"")</f>
        <v/>
      </c>
      <c r="J112" s="15"/>
      <c r="K112" s="45">
        <f t="shared" si="5"/>
        <v>0</v>
      </c>
      <c r="M112" s="18"/>
    </row>
    <row r="113" spans="1:13" x14ac:dyDescent="0.25">
      <c r="A113" s="16" t="s">
        <v>34</v>
      </c>
      <c r="B113" s="17" t="s">
        <v>25</v>
      </c>
      <c r="C113" s="12">
        <v>4405</v>
      </c>
      <c r="D113" s="42" t="s">
        <v>23</v>
      </c>
      <c r="E113" s="14">
        <v>18</v>
      </c>
      <c r="F113" s="12">
        <v>10700</v>
      </c>
      <c r="G113" s="12">
        <v>29000</v>
      </c>
      <c r="H113" s="43">
        <f t="shared" si="4"/>
        <v>18300</v>
      </c>
      <c r="I113" s="44">
        <f>IFERROR(VLOOKUP("CM-SHA 11-"&amp;C113,'[1]Light Weight'!B:C,2,0),"")</f>
        <v>10380</v>
      </c>
      <c r="J113" s="15">
        <v>18500</v>
      </c>
      <c r="K113" s="45">
        <f t="shared" si="5"/>
        <v>-200</v>
      </c>
      <c r="M113" s="18"/>
    </row>
    <row r="114" spans="1:13" x14ac:dyDescent="0.25">
      <c r="A114" s="16" t="s">
        <v>34</v>
      </c>
      <c r="B114" s="17" t="s">
        <v>25</v>
      </c>
      <c r="C114" s="12">
        <v>4413</v>
      </c>
      <c r="D114" s="42" t="s">
        <v>23</v>
      </c>
      <c r="E114" s="14">
        <v>18</v>
      </c>
      <c r="F114" s="12">
        <v>10600</v>
      </c>
      <c r="G114" s="12">
        <v>28900</v>
      </c>
      <c r="H114" s="43">
        <f t="shared" si="4"/>
        <v>18300</v>
      </c>
      <c r="I114" s="44">
        <f>IFERROR(VLOOKUP("CM-SHA 11-"&amp;C114,'[1]Light Weight'!B:C,2,0),"")</f>
        <v>10380</v>
      </c>
      <c r="J114" s="15">
        <v>18460</v>
      </c>
      <c r="K114" s="45">
        <f t="shared" si="5"/>
        <v>-160</v>
      </c>
      <c r="M114" s="18"/>
    </row>
    <row r="115" spans="1:13" x14ac:dyDescent="0.25">
      <c r="A115" s="16" t="s">
        <v>34</v>
      </c>
      <c r="B115" s="17" t="s">
        <v>25</v>
      </c>
      <c r="C115" s="12">
        <v>4414</v>
      </c>
      <c r="D115" s="42" t="s">
        <v>23</v>
      </c>
      <c r="E115" s="14">
        <v>18</v>
      </c>
      <c r="F115" s="12">
        <v>10700</v>
      </c>
      <c r="G115" s="12">
        <v>29100</v>
      </c>
      <c r="H115" s="43">
        <f t="shared" si="4"/>
        <v>18400</v>
      </c>
      <c r="I115" s="44">
        <f>IFERROR(VLOOKUP("CM-SHA 11-"&amp;C115,'[1]Light Weight'!B:C,2,0),"")</f>
        <v>10400</v>
      </c>
      <c r="J115" s="15">
        <v>18360</v>
      </c>
      <c r="K115" s="45">
        <f t="shared" si="5"/>
        <v>40</v>
      </c>
      <c r="M115" s="18"/>
    </row>
    <row r="116" spans="1:13" x14ac:dyDescent="0.25">
      <c r="A116" s="16" t="s">
        <v>34</v>
      </c>
      <c r="B116" s="17" t="s">
        <v>25</v>
      </c>
      <c r="C116" s="12">
        <v>4415</v>
      </c>
      <c r="D116" s="42" t="s">
        <v>23</v>
      </c>
      <c r="E116" s="14">
        <v>18</v>
      </c>
      <c r="F116" s="12">
        <v>10600</v>
      </c>
      <c r="G116" s="12">
        <v>28900</v>
      </c>
      <c r="H116" s="43">
        <f t="shared" si="4"/>
        <v>18300</v>
      </c>
      <c r="I116" s="44">
        <f>IFERROR(VLOOKUP("CM-SHA 11-"&amp;C116,'[1]Light Weight'!B:C,2,0),"")</f>
        <v>10430</v>
      </c>
      <c r="J116" s="15">
        <v>18320</v>
      </c>
      <c r="K116" s="45">
        <f t="shared" si="5"/>
        <v>-20</v>
      </c>
      <c r="M116" s="18"/>
    </row>
    <row r="117" spans="1:13" x14ac:dyDescent="0.25">
      <c r="A117" s="16" t="s">
        <v>34</v>
      </c>
      <c r="B117" s="17" t="s">
        <v>25</v>
      </c>
      <c r="C117" s="12">
        <v>4403</v>
      </c>
      <c r="D117" s="42" t="s">
        <v>23</v>
      </c>
      <c r="E117" s="14">
        <v>18</v>
      </c>
      <c r="F117" s="12">
        <v>10700</v>
      </c>
      <c r="G117" s="12">
        <v>29000</v>
      </c>
      <c r="H117" s="43">
        <f t="shared" si="4"/>
        <v>18300</v>
      </c>
      <c r="I117" s="44">
        <f>IFERROR(VLOOKUP("CM-SHA 11-"&amp;C117,'[1]Light Weight'!B:C,2,0),"")</f>
        <v>10480</v>
      </c>
      <c r="J117" s="15">
        <v>18490</v>
      </c>
      <c r="K117" s="45">
        <f t="shared" si="5"/>
        <v>-190</v>
      </c>
      <c r="M117" s="18"/>
    </row>
    <row r="118" spans="1:13" x14ac:dyDescent="0.25">
      <c r="A118" s="16" t="s">
        <v>34</v>
      </c>
      <c r="B118" s="17" t="s">
        <v>25</v>
      </c>
      <c r="C118" s="12">
        <v>4412</v>
      </c>
      <c r="D118" s="42" t="s">
        <v>23</v>
      </c>
      <c r="E118" s="14">
        <v>23</v>
      </c>
      <c r="F118" s="12">
        <v>10600</v>
      </c>
      <c r="G118" s="12">
        <v>33800</v>
      </c>
      <c r="H118" s="43">
        <f t="shared" si="4"/>
        <v>23200</v>
      </c>
      <c r="I118" s="44">
        <f>IFERROR(VLOOKUP("CM-SHA 11-"&amp;C118,'[1]Light Weight'!B:C,2,0),"")</f>
        <v>10330</v>
      </c>
      <c r="J118" s="15">
        <v>23490</v>
      </c>
      <c r="K118" s="45">
        <f t="shared" si="5"/>
        <v>-290</v>
      </c>
      <c r="M118" s="18"/>
    </row>
    <row r="119" spans="1:13" x14ac:dyDescent="0.25">
      <c r="A119" s="16" t="s">
        <v>34</v>
      </c>
      <c r="B119" s="17" t="s">
        <v>25</v>
      </c>
      <c r="C119" s="12">
        <v>4410</v>
      </c>
      <c r="D119" s="42" t="s">
        <v>23</v>
      </c>
      <c r="E119" s="14">
        <v>23</v>
      </c>
      <c r="F119" s="12">
        <v>10800</v>
      </c>
      <c r="G119" s="12">
        <v>34000</v>
      </c>
      <c r="H119" s="43">
        <f t="shared" si="4"/>
        <v>23200</v>
      </c>
      <c r="I119" s="44">
        <f>IFERROR(VLOOKUP("CM-SHA 11-"&amp;C119,'[1]Light Weight'!B:C,2,0),"")</f>
        <v>10500</v>
      </c>
      <c r="J119" s="15">
        <v>23400</v>
      </c>
      <c r="K119" s="45">
        <f t="shared" si="5"/>
        <v>-200</v>
      </c>
      <c r="M119" s="18"/>
    </row>
    <row r="120" spans="1:13" x14ac:dyDescent="0.25">
      <c r="A120" s="16" t="s">
        <v>34</v>
      </c>
      <c r="B120" s="17" t="s">
        <v>26</v>
      </c>
      <c r="C120" s="12">
        <v>3933</v>
      </c>
      <c r="D120" s="42" t="s">
        <v>23</v>
      </c>
      <c r="E120" s="14">
        <v>18</v>
      </c>
      <c r="F120" s="12">
        <v>10600</v>
      </c>
      <c r="G120" s="12">
        <v>28900</v>
      </c>
      <c r="H120" s="43">
        <f t="shared" si="4"/>
        <v>18300</v>
      </c>
      <c r="I120" s="44">
        <f>IFERROR(VLOOKUP("CM-SHA 11-"&amp;C120,'[1]Light Weight'!B:C,2,0),"")</f>
        <v>10410</v>
      </c>
      <c r="J120" s="15">
        <v>18450</v>
      </c>
      <c r="K120" s="45">
        <f t="shared" si="5"/>
        <v>-150</v>
      </c>
      <c r="M120" s="18"/>
    </row>
    <row r="121" spans="1:13" x14ac:dyDescent="0.25">
      <c r="A121" s="16" t="s">
        <v>34</v>
      </c>
      <c r="B121" s="17" t="s">
        <v>27</v>
      </c>
      <c r="C121" s="12">
        <v>4409</v>
      </c>
      <c r="D121" s="42" t="s">
        <v>23</v>
      </c>
      <c r="E121" s="14">
        <v>22</v>
      </c>
      <c r="F121" s="12">
        <v>10700</v>
      </c>
      <c r="G121" s="12">
        <v>33000</v>
      </c>
      <c r="H121" s="43">
        <f t="shared" si="4"/>
        <v>22300</v>
      </c>
      <c r="I121" s="44">
        <f>IFERROR(VLOOKUP("CM-SHA 11-"&amp;C121,'[1]Light Weight'!B:C,2,0),"")</f>
        <v>10450</v>
      </c>
      <c r="J121" s="15">
        <v>22360</v>
      </c>
      <c r="K121" s="45">
        <f t="shared" si="5"/>
        <v>-60</v>
      </c>
      <c r="M121" s="18"/>
    </row>
    <row r="122" spans="1:13" x14ac:dyDescent="0.25">
      <c r="A122" s="16" t="s">
        <v>34</v>
      </c>
      <c r="B122" s="17" t="s">
        <v>27</v>
      </c>
      <c r="C122" s="12">
        <v>4412</v>
      </c>
      <c r="D122" s="42" t="s">
        <v>23</v>
      </c>
      <c r="E122" s="14">
        <v>22</v>
      </c>
      <c r="F122" s="12">
        <v>10600</v>
      </c>
      <c r="G122" s="12">
        <v>33000</v>
      </c>
      <c r="H122" s="43">
        <f t="shared" si="4"/>
        <v>22400</v>
      </c>
      <c r="I122" s="44">
        <f>IFERROR(VLOOKUP("CM-SHA 11-"&amp;C122,'[1]Light Weight'!B:C,2,0),"")</f>
        <v>10330</v>
      </c>
      <c r="J122" s="15">
        <v>22620</v>
      </c>
      <c r="K122" s="45">
        <f t="shared" si="5"/>
        <v>-220</v>
      </c>
      <c r="M122" s="18"/>
    </row>
    <row r="123" spans="1:13" x14ac:dyDescent="0.25">
      <c r="A123" s="16" t="s">
        <v>34</v>
      </c>
      <c r="B123" s="17" t="s">
        <v>27</v>
      </c>
      <c r="C123" s="12">
        <v>4404</v>
      </c>
      <c r="D123" s="42" t="s">
        <v>23</v>
      </c>
      <c r="E123" s="14">
        <v>22</v>
      </c>
      <c r="F123" s="12">
        <v>10600</v>
      </c>
      <c r="G123" s="12">
        <v>32900</v>
      </c>
      <c r="H123" s="43">
        <f t="shared" si="4"/>
        <v>22300</v>
      </c>
      <c r="I123" s="44">
        <f>IFERROR(VLOOKUP("CM-SHA 11-"&amp;C123,'[1]Light Weight'!B:C,2,0),"")</f>
        <v>10550</v>
      </c>
      <c r="J123" s="15">
        <v>22590</v>
      </c>
      <c r="K123" s="45">
        <f t="shared" si="5"/>
        <v>-290</v>
      </c>
      <c r="M123" s="18"/>
    </row>
    <row r="124" spans="1:13" x14ac:dyDescent="0.25">
      <c r="A124" s="16" t="s">
        <v>34</v>
      </c>
      <c r="B124" s="17" t="s">
        <v>27</v>
      </c>
      <c r="C124" s="12">
        <v>4408</v>
      </c>
      <c r="D124" s="42" t="s">
        <v>23</v>
      </c>
      <c r="E124" s="14">
        <v>22</v>
      </c>
      <c r="F124" s="12">
        <v>10700</v>
      </c>
      <c r="G124" s="12">
        <v>33100</v>
      </c>
      <c r="H124" s="43">
        <f t="shared" si="4"/>
        <v>22400</v>
      </c>
      <c r="I124" s="44">
        <f>IFERROR(VLOOKUP("CM-SHA 11-"&amp;C124,'[1]Light Weight'!B:C,2,0),"")</f>
        <v>10420</v>
      </c>
      <c r="J124" s="15">
        <v>22670</v>
      </c>
      <c r="K124" s="45">
        <f t="shared" si="5"/>
        <v>-270</v>
      </c>
      <c r="M124" s="18"/>
    </row>
    <row r="125" spans="1:13" x14ac:dyDescent="0.25">
      <c r="A125" s="16" t="s">
        <v>34</v>
      </c>
      <c r="B125" s="17" t="s">
        <v>27</v>
      </c>
      <c r="C125" s="12">
        <v>4410</v>
      </c>
      <c r="D125" s="42" t="s">
        <v>23</v>
      </c>
      <c r="E125" s="14">
        <v>22</v>
      </c>
      <c r="F125" s="12">
        <v>10600</v>
      </c>
      <c r="G125" s="12">
        <v>33000</v>
      </c>
      <c r="H125" s="43">
        <f t="shared" si="4"/>
        <v>22400</v>
      </c>
      <c r="I125" s="44">
        <f>IFERROR(VLOOKUP("CM-SHA 11-"&amp;C125,'[1]Light Weight'!B:C,2,0),"")</f>
        <v>10500</v>
      </c>
      <c r="J125" s="15">
        <v>22390</v>
      </c>
      <c r="K125" s="45">
        <f t="shared" si="5"/>
        <v>10</v>
      </c>
      <c r="M125" s="18"/>
    </row>
    <row r="126" spans="1:13" x14ac:dyDescent="0.25">
      <c r="A126" s="16" t="s">
        <v>34</v>
      </c>
      <c r="B126" s="17" t="s">
        <v>27</v>
      </c>
      <c r="C126" s="12">
        <v>4402</v>
      </c>
      <c r="D126" s="42" t="s">
        <v>23</v>
      </c>
      <c r="E126" s="14">
        <v>22</v>
      </c>
      <c r="F126" s="12">
        <v>10700</v>
      </c>
      <c r="G126" s="12">
        <v>33100</v>
      </c>
      <c r="H126" s="43">
        <f t="shared" si="4"/>
        <v>22400</v>
      </c>
      <c r="I126" s="44">
        <f>IFERROR(VLOOKUP("CM-SHA 11-"&amp;C126,'[1]Light Weight'!B:C,2,0),"")</f>
        <v>10420</v>
      </c>
      <c r="J126" s="15">
        <v>22760</v>
      </c>
      <c r="K126" s="45">
        <f t="shared" si="5"/>
        <v>-360</v>
      </c>
      <c r="M126" s="18"/>
    </row>
    <row r="127" spans="1:13" x14ac:dyDescent="0.25">
      <c r="A127" s="16" t="s">
        <v>34</v>
      </c>
      <c r="B127" s="17" t="s">
        <v>27</v>
      </c>
      <c r="C127" s="12">
        <v>4112</v>
      </c>
      <c r="D127" s="42" t="s">
        <v>23</v>
      </c>
      <c r="E127" s="14">
        <v>22</v>
      </c>
      <c r="F127" s="12">
        <v>10600</v>
      </c>
      <c r="G127" s="12">
        <v>33000</v>
      </c>
      <c r="H127" s="43">
        <f t="shared" si="4"/>
        <v>22400</v>
      </c>
      <c r="I127" s="44">
        <f>IFERROR(VLOOKUP("CM-SHA 11-"&amp;C127,'[1]Light Weight'!B:C,2,0),"")</f>
        <v>10460</v>
      </c>
      <c r="J127" s="15">
        <v>22590</v>
      </c>
      <c r="K127" s="45">
        <f t="shared" si="5"/>
        <v>-190</v>
      </c>
      <c r="M127" s="18"/>
    </row>
    <row r="128" spans="1:13" x14ac:dyDescent="0.25">
      <c r="A128" s="16" t="s">
        <v>34</v>
      </c>
      <c r="B128" s="17" t="s">
        <v>27</v>
      </c>
      <c r="C128" s="12">
        <v>4411</v>
      </c>
      <c r="D128" s="42" t="s">
        <v>23</v>
      </c>
      <c r="E128" s="14">
        <v>22</v>
      </c>
      <c r="F128" s="12">
        <v>10700</v>
      </c>
      <c r="G128" s="12">
        <v>32900</v>
      </c>
      <c r="H128" s="43">
        <f t="shared" si="4"/>
        <v>22200</v>
      </c>
      <c r="I128" s="44">
        <f>IFERROR(VLOOKUP("CM-SHA 11-"&amp;C128,'[1]Light Weight'!B:C,2,0),"")</f>
        <v>10340</v>
      </c>
      <c r="J128" s="15">
        <v>22540</v>
      </c>
      <c r="K128" s="45">
        <f t="shared" si="5"/>
        <v>-340</v>
      </c>
      <c r="M128" s="18"/>
    </row>
    <row r="129" spans="1:13" x14ac:dyDescent="0.25">
      <c r="A129" s="16" t="s">
        <v>34</v>
      </c>
      <c r="B129" s="17" t="s">
        <v>27</v>
      </c>
      <c r="C129" s="12">
        <v>4113</v>
      </c>
      <c r="D129" s="42" t="s">
        <v>23</v>
      </c>
      <c r="E129" s="14">
        <v>22</v>
      </c>
      <c r="F129" s="12">
        <v>10600</v>
      </c>
      <c r="G129" s="12">
        <v>33000</v>
      </c>
      <c r="H129" s="43">
        <f t="shared" si="4"/>
        <v>22400</v>
      </c>
      <c r="I129" s="44">
        <f>IFERROR(VLOOKUP("CM-SHA 11-"&amp;C129,'[1]Light Weight'!B:C,2,0),"")</f>
        <v>10430</v>
      </c>
      <c r="J129" s="15">
        <v>22360</v>
      </c>
      <c r="K129" s="45">
        <f t="shared" si="5"/>
        <v>40</v>
      </c>
      <c r="M129" s="18"/>
    </row>
    <row r="130" spans="1:13" x14ac:dyDescent="0.25">
      <c r="A130" s="16" t="s">
        <v>34</v>
      </c>
      <c r="B130" s="17" t="s">
        <v>27</v>
      </c>
      <c r="C130" s="12">
        <v>3932</v>
      </c>
      <c r="D130" s="42" t="s">
        <v>23</v>
      </c>
      <c r="E130" s="14">
        <v>18</v>
      </c>
      <c r="F130" s="12">
        <v>10800</v>
      </c>
      <c r="G130" s="12">
        <v>28900</v>
      </c>
      <c r="H130" s="43">
        <f t="shared" si="4"/>
        <v>18100</v>
      </c>
      <c r="I130" s="44">
        <f>IFERROR(VLOOKUP("CM-SHA 11-"&amp;C130,'[1]Light Weight'!B:C,2,0),"")</f>
        <v>10360</v>
      </c>
      <c r="J130" s="15">
        <v>18440</v>
      </c>
      <c r="K130" s="45">
        <f t="shared" si="5"/>
        <v>-340</v>
      </c>
      <c r="M130" s="18"/>
    </row>
    <row r="131" spans="1:13" x14ac:dyDescent="0.25">
      <c r="A131" s="16"/>
      <c r="B131" s="17"/>
      <c r="C131" s="12"/>
      <c r="D131" s="42" t="s">
        <v>23</v>
      </c>
      <c r="E131" s="14"/>
      <c r="F131" s="12"/>
      <c r="G131" s="12"/>
      <c r="H131" s="43">
        <f t="shared" si="4"/>
        <v>0</v>
      </c>
      <c r="I131" s="44" t="str">
        <f>IFERROR(VLOOKUP("CM-SHA 11-"&amp;C131,'[1]Light Weight'!B:C,2,0),"")</f>
        <v/>
      </c>
      <c r="J131" s="15"/>
      <c r="K131" s="45">
        <f t="shared" si="5"/>
        <v>0</v>
      </c>
      <c r="M131" s="18"/>
    </row>
    <row r="132" spans="1:13" x14ac:dyDescent="0.25">
      <c r="A132" s="16" t="s">
        <v>35</v>
      </c>
      <c r="B132" s="17" t="s">
        <v>25</v>
      </c>
      <c r="C132" s="12">
        <v>4115</v>
      </c>
      <c r="D132" s="42" t="s">
        <v>23</v>
      </c>
      <c r="E132" s="14">
        <v>18</v>
      </c>
      <c r="F132" s="12">
        <v>10700</v>
      </c>
      <c r="G132" s="12">
        <v>28900</v>
      </c>
      <c r="H132" s="43">
        <f t="shared" si="4"/>
        <v>18200</v>
      </c>
      <c r="I132" s="44">
        <f>IFERROR(VLOOKUP("CM-SHA 11-"&amp;C132,'[1]Light Weight'!B:C,2,0),"")</f>
        <v>10460</v>
      </c>
      <c r="J132" s="15">
        <v>18360</v>
      </c>
      <c r="K132" s="45">
        <f t="shared" si="5"/>
        <v>-160</v>
      </c>
      <c r="M132" s="18"/>
    </row>
    <row r="133" spans="1:13" x14ac:dyDescent="0.25">
      <c r="A133" s="16" t="s">
        <v>35</v>
      </c>
      <c r="B133" s="17" t="s">
        <v>25</v>
      </c>
      <c r="C133" s="12">
        <v>3930</v>
      </c>
      <c r="D133" s="42" t="s">
        <v>23</v>
      </c>
      <c r="E133" s="14">
        <v>18</v>
      </c>
      <c r="F133" s="12">
        <v>10600</v>
      </c>
      <c r="G133" s="12">
        <v>29100</v>
      </c>
      <c r="H133" s="43">
        <f t="shared" si="4"/>
        <v>18500</v>
      </c>
      <c r="I133" s="44">
        <f>IFERROR(VLOOKUP("CM-SHA 11-"&amp;C133,'[1]Light Weight'!B:C,2,0),"")</f>
        <v>10450</v>
      </c>
      <c r="J133" s="15">
        <v>18790</v>
      </c>
      <c r="K133" s="45">
        <f t="shared" si="5"/>
        <v>-290</v>
      </c>
      <c r="M133" s="18"/>
    </row>
    <row r="134" spans="1:13" x14ac:dyDescent="0.25">
      <c r="A134" s="16" t="s">
        <v>35</v>
      </c>
      <c r="B134" s="17" t="s">
        <v>25</v>
      </c>
      <c r="C134" s="12">
        <v>4416</v>
      </c>
      <c r="D134" s="42" t="s">
        <v>23</v>
      </c>
      <c r="E134" s="14">
        <v>18</v>
      </c>
      <c r="F134" s="12">
        <v>10600</v>
      </c>
      <c r="G134" s="12">
        <v>28900</v>
      </c>
      <c r="H134" s="43">
        <f t="shared" si="4"/>
        <v>18300</v>
      </c>
      <c r="I134" s="44">
        <v>10390</v>
      </c>
      <c r="J134" s="15">
        <v>18460</v>
      </c>
      <c r="K134" s="45">
        <f t="shared" si="5"/>
        <v>-160</v>
      </c>
      <c r="M134" s="18"/>
    </row>
    <row r="135" spans="1:13" x14ac:dyDescent="0.25">
      <c r="A135" s="16" t="s">
        <v>35</v>
      </c>
      <c r="B135" s="17" t="s">
        <v>25</v>
      </c>
      <c r="C135" s="12">
        <v>4114</v>
      </c>
      <c r="D135" s="42" t="s">
        <v>23</v>
      </c>
      <c r="E135" s="14">
        <v>18</v>
      </c>
      <c r="F135" s="12">
        <v>10700</v>
      </c>
      <c r="G135" s="12">
        <v>28900</v>
      </c>
      <c r="H135" s="43">
        <f t="shared" si="4"/>
        <v>18200</v>
      </c>
      <c r="I135" s="44">
        <f>IFERROR(VLOOKUP("CM-SHA 11-"&amp;C135,'[1]Light Weight'!B:C,2,0),"")</f>
        <v>10550</v>
      </c>
      <c r="J135" s="15">
        <v>18260</v>
      </c>
      <c r="K135" s="45">
        <f t="shared" si="5"/>
        <v>-60</v>
      </c>
      <c r="M135" s="18"/>
    </row>
    <row r="136" spans="1:13" x14ac:dyDescent="0.25">
      <c r="A136" s="16" t="s">
        <v>35</v>
      </c>
      <c r="B136" s="17" t="s">
        <v>25</v>
      </c>
      <c r="C136" s="12">
        <v>4406</v>
      </c>
      <c r="D136" s="42" t="s">
        <v>23</v>
      </c>
      <c r="E136" s="14">
        <v>18</v>
      </c>
      <c r="F136" s="12">
        <v>10800</v>
      </c>
      <c r="G136" s="12">
        <v>29000</v>
      </c>
      <c r="H136" s="43">
        <f t="shared" si="4"/>
        <v>18200</v>
      </c>
      <c r="I136" s="44">
        <f>IFERROR(VLOOKUP("CM-SHA 11-"&amp;C136,'[1]Light Weight'!B:C,2,0),"")</f>
        <v>10440</v>
      </c>
      <c r="J136" s="15">
        <v>18460</v>
      </c>
      <c r="K136" s="45">
        <f t="shared" si="5"/>
        <v>-260</v>
      </c>
      <c r="M136" s="18"/>
    </row>
    <row r="137" spans="1:13" x14ac:dyDescent="0.25">
      <c r="A137" s="16" t="s">
        <v>35</v>
      </c>
      <c r="B137" s="17" t="s">
        <v>25</v>
      </c>
      <c r="C137" s="12">
        <v>4413</v>
      </c>
      <c r="D137" s="42" t="s">
        <v>23</v>
      </c>
      <c r="E137" s="14">
        <v>23</v>
      </c>
      <c r="F137" s="12">
        <v>10700</v>
      </c>
      <c r="G137" s="12">
        <v>34000</v>
      </c>
      <c r="H137" s="43">
        <f t="shared" si="4"/>
        <v>23300</v>
      </c>
      <c r="I137" s="44">
        <f>IFERROR(VLOOKUP("CM-SHA 11-"&amp;C137,'[1]Light Weight'!B:C,2,0),"")</f>
        <v>10380</v>
      </c>
      <c r="J137" s="15">
        <v>23500</v>
      </c>
      <c r="K137" s="45">
        <f t="shared" si="5"/>
        <v>-200</v>
      </c>
      <c r="M137" s="18"/>
    </row>
    <row r="138" spans="1:13" x14ac:dyDescent="0.25">
      <c r="A138" s="16" t="s">
        <v>35</v>
      </c>
      <c r="B138" s="17" t="s">
        <v>27</v>
      </c>
      <c r="C138" s="12">
        <v>4407</v>
      </c>
      <c r="D138" s="42" t="s">
        <v>23</v>
      </c>
      <c r="E138" s="14">
        <v>22</v>
      </c>
      <c r="F138" s="12">
        <v>10700</v>
      </c>
      <c r="G138" s="12">
        <v>33100</v>
      </c>
      <c r="H138" s="43">
        <f t="shared" si="4"/>
        <v>22400</v>
      </c>
      <c r="I138" s="44">
        <f>IFERROR(VLOOKUP("CM-SHA 11-"&amp;C138,'[1]Light Weight'!B:C,2,0),"")</f>
        <v>10420</v>
      </c>
      <c r="J138" s="15">
        <v>22590</v>
      </c>
      <c r="K138" s="45">
        <f t="shared" si="5"/>
        <v>-190</v>
      </c>
      <c r="M138" s="18"/>
    </row>
    <row r="139" spans="1:13" x14ac:dyDescent="0.25">
      <c r="A139" s="16" t="s">
        <v>35</v>
      </c>
      <c r="B139" s="17" t="s">
        <v>27</v>
      </c>
      <c r="C139" s="12">
        <v>3931</v>
      </c>
      <c r="D139" s="42" t="s">
        <v>23</v>
      </c>
      <c r="E139" s="14">
        <v>22</v>
      </c>
      <c r="F139" s="12">
        <v>10700</v>
      </c>
      <c r="G139" s="12">
        <v>33100</v>
      </c>
      <c r="H139" s="43">
        <f t="shared" si="4"/>
        <v>22400</v>
      </c>
      <c r="I139" s="44">
        <f>IFERROR(VLOOKUP("CM-SHA 11-"&amp;C139,'[1]Light Weight'!B:C,2,0),"")</f>
        <v>10520</v>
      </c>
      <c r="J139" s="15">
        <v>22650</v>
      </c>
      <c r="K139" s="45">
        <f t="shared" si="5"/>
        <v>-250</v>
      </c>
      <c r="M139" s="18"/>
    </row>
    <row r="140" spans="1:13" x14ac:dyDescent="0.25">
      <c r="A140" s="16" t="s">
        <v>35</v>
      </c>
      <c r="B140" s="17" t="s">
        <v>27</v>
      </c>
      <c r="C140" s="12">
        <v>4413</v>
      </c>
      <c r="D140" s="42" t="s">
        <v>23</v>
      </c>
      <c r="E140" s="14">
        <v>22</v>
      </c>
      <c r="F140" s="12">
        <v>10800</v>
      </c>
      <c r="G140" s="12">
        <v>33200</v>
      </c>
      <c r="H140" s="43">
        <f t="shared" si="4"/>
        <v>22400</v>
      </c>
      <c r="I140" s="44">
        <f>IFERROR(VLOOKUP("CM-SHA 11-"&amp;C140,'[1]Light Weight'!B:C,2,0),"")</f>
        <v>10380</v>
      </c>
      <c r="J140" s="15">
        <v>22770</v>
      </c>
      <c r="K140" s="45">
        <f t="shared" si="5"/>
        <v>-370</v>
      </c>
      <c r="M140" s="18"/>
    </row>
    <row r="141" spans="1:13" x14ac:dyDescent="0.25">
      <c r="A141" s="16" t="s">
        <v>35</v>
      </c>
      <c r="B141" s="17" t="s">
        <v>27</v>
      </c>
      <c r="C141" s="12">
        <v>4405</v>
      </c>
      <c r="D141" s="42" t="s">
        <v>23</v>
      </c>
      <c r="E141" s="14">
        <v>22</v>
      </c>
      <c r="F141" s="12">
        <v>10600</v>
      </c>
      <c r="G141" s="12">
        <v>33300</v>
      </c>
      <c r="H141" s="43">
        <f t="shared" si="4"/>
        <v>22700</v>
      </c>
      <c r="I141" s="44">
        <f>IFERROR(VLOOKUP("CM-SHA 11-"&amp;C141,'[1]Light Weight'!B:C,2,0),"")</f>
        <v>10380</v>
      </c>
      <c r="J141" s="15">
        <v>22860</v>
      </c>
      <c r="K141" s="45">
        <f t="shared" si="5"/>
        <v>-160</v>
      </c>
      <c r="M141" s="18"/>
    </row>
    <row r="142" spans="1:13" x14ac:dyDescent="0.25">
      <c r="A142" s="16" t="s">
        <v>35</v>
      </c>
      <c r="B142" s="17" t="s">
        <v>27</v>
      </c>
      <c r="C142" s="12">
        <v>4415</v>
      </c>
      <c r="D142" s="42" t="s">
        <v>23</v>
      </c>
      <c r="E142" s="14">
        <v>22</v>
      </c>
      <c r="F142" s="12">
        <v>10700</v>
      </c>
      <c r="G142" s="12">
        <v>33000</v>
      </c>
      <c r="H142" s="43">
        <f t="shared" si="4"/>
        <v>22300</v>
      </c>
      <c r="I142" s="44">
        <f>IFERROR(VLOOKUP("CM-SHA 11-"&amp;C142,'[1]Light Weight'!B:C,2,0),"")</f>
        <v>10430</v>
      </c>
      <c r="J142" s="15">
        <v>22520</v>
      </c>
      <c r="K142" s="45">
        <f t="shared" si="5"/>
        <v>-220</v>
      </c>
      <c r="M142" s="18"/>
    </row>
    <row r="143" spans="1:13" x14ac:dyDescent="0.25">
      <c r="A143" s="16" t="s">
        <v>35</v>
      </c>
      <c r="B143" s="17" t="s">
        <v>27</v>
      </c>
      <c r="C143" s="12">
        <v>4112</v>
      </c>
      <c r="D143" s="42" t="s">
        <v>23</v>
      </c>
      <c r="E143" s="14">
        <v>18</v>
      </c>
      <c r="F143" s="12">
        <v>10700</v>
      </c>
      <c r="G143" s="12">
        <v>28900</v>
      </c>
      <c r="H143" s="43">
        <f t="shared" si="4"/>
        <v>18200</v>
      </c>
      <c r="I143" s="44">
        <f>IFERROR(VLOOKUP("CM-SHA 11-"&amp;C143,'[1]Light Weight'!B:C,2,0),"")</f>
        <v>10460</v>
      </c>
      <c r="J143" s="15">
        <v>18430</v>
      </c>
      <c r="K143" s="45">
        <f t="shared" si="5"/>
        <v>-230</v>
      </c>
      <c r="M143" s="18"/>
    </row>
    <row r="144" spans="1:13" x14ac:dyDescent="0.25">
      <c r="A144" s="16" t="s">
        <v>35</v>
      </c>
      <c r="B144" s="17" t="s">
        <v>27</v>
      </c>
      <c r="C144" s="12">
        <v>4411</v>
      </c>
      <c r="D144" s="42" t="s">
        <v>23</v>
      </c>
      <c r="E144" s="14">
        <v>18</v>
      </c>
      <c r="F144" s="12">
        <v>10800</v>
      </c>
      <c r="G144" s="12">
        <v>28900</v>
      </c>
      <c r="H144" s="43">
        <f t="shared" si="4"/>
        <v>18100</v>
      </c>
      <c r="I144" s="44">
        <f>IFERROR(VLOOKUP("CM-SHA 11-"&amp;C144,'[1]Light Weight'!B:C,2,0),"")</f>
        <v>10340</v>
      </c>
      <c r="J144" s="15">
        <v>18420</v>
      </c>
      <c r="K144" s="45">
        <f t="shared" si="5"/>
        <v>-320</v>
      </c>
      <c r="M144" s="18"/>
    </row>
    <row r="145" spans="1:13" x14ac:dyDescent="0.25">
      <c r="A145" s="16"/>
      <c r="B145" s="17"/>
      <c r="C145" s="12"/>
      <c r="D145" s="42" t="s">
        <v>23</v>
      </c>
      <c r="E145" s="14"/>
      <c r="F145" s="12"/>
      <c r="G145" s="12"/>
      <c r="H145" s="43">
        <f t="shared" si="4"/>
        <v>0</v>
      </c>
      <c r="I145" s="44" t="str">
        <f>IFERROR(VLOOKUP("CM-SHA 11-"&amp;C145,'[1]Light Weight'!B:C,2,0),"")</f>
        <v/>
      </c>
      <c r="J145" s="15"/>
      <c r="K145" s="45">
        <f t="shared" si="5"/>
        <v>0</v>
      </c>
      <c r="M145" s="18"/>
    </row>
    <row r="146" spans="1:13" x14ac:dyDescent="0.25">
      <c r="A146" s="16" t="s">
        <v>36</v>
      </c>
      <c r="B146" s="17" t="s">
        <v>25</v>
      </c>
      <c r="C146" s="12">
        <v>4404</v>
      </c>
      <c r="D146" s="42" t="s">
        <v>23</v>
      </c>
      <c r="E146" s="14">
        <v>18</v>
      </c>
      <c r="F146" s="12">
        <v>11100</v>
      </c>
      <c r="G146" s="12">
        <v>29200</v>
      </c>
      <c r="H146" s="43">
        <f t="shared" si="4"/>
        <v>18100</v>
      </c>
      <c r="I146" s="44">
        <f>IFERROR(VLOOKUP("CM-SHA 11-"&amp;C146,'[1]Light Weight'!B:C,2,0),"")</f>
        <v>10550</v>
      </c>
      <c r="J146" s="15">
        <v>18490</v>
      </c>
      <c r="K146" s="45">
        <f t="shared" si="5"/>
        <v>-390</v>
      </c>
      <c r="M146" s="18"/>
    </row>
    <row r="147" spans="1:13" x14ac:dyDescent="0.25">
      <c r="A147" s="16" t="s">
        <v>37</v>
      </c>
      <c r="B147" s="17" t="s">
        <v>25</v>
      </c>
      <c r="C147" s="12">
        <v>4412</v>
      </c>
      <c r="D147" s="42" t="s">
        <v>23</v>
      </c>
      <c r="E147" s="14">
        <v>18</v>
      </c>
      <c r="F147" s="12">
        <v>10700</v>
      </c>
      <c r="G147" s="12">
        <v>29200</v>
      </c>
      <c r="H147" s="43">
        <f t="shared" si="4"/>
        <v>18500</v>
      </c>
      <c r="I147" s="44">
        <f>IFERROR(VLOOKUP("CM-SHA 11-"&amp;C147,'[1]Light Weight'!B:C,2,0),"")</f>
        <v>10330</v>
      </c>
      <c r="J147" s="15">
        <v>18850</v>
      </c>
      <c r="K147" s="45">
        <f t="shared" si="5"/>
        <v>-350</v>
      </c>
      <c r="M147" s="18"/>
    </row>
    <row r="148" spans="1:13" x14ac:dyDescent="0.25">
      <c r="A148" s="16" t="s">
        <v>38</v>
      </c>
      <c r="B148" s="17" t="s">
        <v>25</v>
      </c>
      <c r="C148" s="12">
        <v>4409</v>
      </c>
      <c r="D148" s="42" t="s">
        <v>23</v>
      </c>
      <c r="E148" s="14">
        <v>18</v>
      </c>
      <c r="F148" s="12">
        <v>10800</v>
      </c>
      <c r="G148" s="12">
        <v>29100</v>
      </c>
      <c r="H148" s="43">
        <f t="shared" si="4"/>
        <v>18300</v>
      </c>
      <c r="I148" s="44">
        <f>IFERROR(VLOOKUP("CM-SHA 11-"&amp;C148,'[1]Light Weight'!B:C,2,0),"")</f>
        <v>10450</v>
      </c>
      <c r="J148" s="15">
        <v>18620</v>
      </c>
      <c r="K148" s="45">
        <f t="shared" si="5"/>
        <v>-320</v>
      </c>
      <c r="M148" s="18"/>
    </row>
    <row r="149" spans="1:13" x14ac:dyDescent="0.25">
      <c r="A149" s="16" t="s">
        <v>39</v>
      </c>
      <c r="B149" s="17" t="s">
        <v>25</v>
      </c>
      <c r="C149" s="12">
        <v>3933</v>
      </c>
      <c r="D149" s="42" t="s">
        <v>23</v>
      </c>
      <c r="E149" s="14">
        <v>18</v>
      </c>
      <c r="F149" s="12">
        <v>10800</v>
      </c>
      <c r="G149" s="12">
        <v>29000</v>
      </c>
      <c r="H149" s="43">
        <f t="shared" si="4"/>
        <v>18200</v>
      </c>
      <c r="I149" s="44">
        <f>IFERROR(VLOOKUP("CM-SHA 11-"&amp;C149,'[1]Light Weight'!B:C,2,0),"")</f>
        <v>10410</v>
      </c>
      <c r="J149" s="15">
        <v>18550</v>
      </c>
      <c r="K149" s="45">
        <f t="shared" si="5"/>
        <v>-350</v>
      </c>
      <c r="M149" s="18"/>
    </row>
    <row r="150" spans="1:13" x14ac:dyDescent="0.25">
      <c r="A150" s="16" t="s">
        <v>40</v>
      </c>
      <c r="B150" s="17" t="s">
        <v>25</v>
      </c>
      <c r="C150" s="12">
        <v>4403</v>
      </c>
      <c r="D150" s="42" t="s">
        <v>23</v>
      </c>
      <c r="E150" s="14">
        <v>18</v>
      </c>
      <c r="F150" s="12">
        <v>10700</v>
      </c>
      <c r="G150" s="12">
        <v>28900</v>
      </c>
      <c r="H150" s="43">
        <f t="shared" si="4"/>
        <v>18200</v>
      </c>
      <c r="I150" s="44">
        <f>IFERROR(VLOOKUP("CM-SHA 11-"&amp;C150,'[1]Light Weight'!B:C,2,0),"")</f>
        <v>10480</v>
      </c>
      <c r="J150" s="15">
        <v>18420</v>
      </c>
      <c r="K150" s="45">
        <f t="shared" si="5"/>
        <v>-220</v>
      </c>
      <c r="M150" s="18"/>
    </row>
    <row r="151" spans="1:13" x14ac:dyDescent="0.25">
      <c r="A151" s="16" t="s">
        <v>41</v>
      </c>
      <c r="B151" s="17" t="s">
        <v>25</v>
      </c>
      <c r="C151" s="12">
        <v>4410</v>
      </c>
      <c r="D151" s="42" t="s">
        <v>23</v>
      </c>
      <c r="E151" s="14">
        <v>18</v>
      </c>
      <c r="F151" s="12">
        <v>10800</v>
      </c>
      <c r="G151" s="12">
        <v>29100</v>
      </c>
      <c r="H151" s="43">
        <f t="shared" si="4"/>
        <v>18300</v>
      </c>
      <c r="I151" s="44">
        <f>IFERROR(VLOOKUP("CM-SHA 11-"&amp;C151,'[1]Light Weight'!B:C,2,0),"")</f>
        <v>10500</v>
      </c>
      <c r="J151" s="15">
        <v>18560</v>
      </c>
      <c r="K151" s="45">
        <f t="shared" si="5"/>
        <v>-260</v>
      </c>
      <c r="M151" s="18"/>
    </row>
    <row r="152" spans="1:13" x14ac:dyDescent="0.25">
      <c r="A152" s="16" t="s">
        <v>42</v>
      </c>
      <c r="B152" s="17" t="s">
        <v>25</v>
      </c>
      <c r="C152" s="12">
        <v>4408</v>
      </c>
      <c r="D152" s="42" t="s">
        <v>23</v>
      </c>
      <c r="E152" s="14">
        <v>18</v>
      </c>
      <c r="F152" s="12">
        <v>10700</v>
      </c>
      <c r="G152" s="12">
        <v>28900</v>
      </c>
      <c r="H152" s="43">
        <f t="shared" si="4"/>
        <v>18200</v>
      </c>
      <c r="I152" s="44">
        <f>IFERROR(VLOOKUP("CM-SHA 11-"&amp;C152,'[1]Light Weight'!B:C,2,0),"")</f>
        <v>10420</v>
      </c>
      <c r="J152" s="15">
        <v>18440</v>
      </c>
      <c r="K152" s="45">
        <f t="shared" si="5"/>
        <v>-240</v>
      </c>
      <c r="M152" s="18"/>
    </row>
    <row r="153" spans="1:13" x14ac:dyDescent="0.25">
      <c r="A153" s="16" t="s">
        <v>43</v>
      </c>
      <c r="B153" s="17" t="s">
        <v>25</v>
      </c>
      <c r="C153" s="12">
        <v>4402</v>
      </c>
      <c r="D153" s="42" t="s">
        <v>23</v>
      </c>
      <c r="E153" s="14">
        <v>18</v>
      </c>
      <c r="F153" s="12">
        <v>10800</v>
      </c>
      <c r="G153" s="12">
        <v>29300</v>
      </c>
      <c r="H153" s="43">
        <f t="shared" si="4"/>
        <v>18500</v>
      </c>
      <c r="I153" s="44">
        <f>IFERROR(VLOOKUP("CM-SHA 11-"&amp;C153,'[1]Light Weight'!B:C,2,0),"")</f>
        <v>10420</v>
      </c>
      <c r="J153" s="15">
        <v>18740</v>
      </c>
      <c r="K153" s="45">
        <f t="shared" si="5"/>
        <v>-240</v>
      </c>
      <c r="M153" s="18"/>
    </row>
    <row r="154" spans="1:13" x14ac:dyDescent="0.25">
      <c r="A154" s="16" t="s">
        <v>36</v>
      </c>
      <c r="B154" s="17" t="s">
        <v>26</v>
      </c>
      <c r="C154" s="12">
        <v>4406</v>
      </c>
      <c r="D154" s="42" t="s">
        <v>23</v>
      </c>
      <c r="E154" s="14">
        <v>22</v>
      </c>
      <c r="F154" s="12">
        <v>10800</v>
      </c>
      <c r="G154" s="12">
        <v>33000</v>
      </c>
      <c r="H154" s="43">
        <f t="shared" si="4"/>
        <v>22200</v>
      </c>
      <c r="I154" s="44">
        <f>IFERROR(VLOOKUP("CM-SHA 11-"&amp;C154,'[1]Light Weight'!B:C,2,0),"")</f>
        <v>10440</v>
      </c>
      <c r="J154" s="15">
        <v>22490</v>
      </c>
      <c r="K154" s="45">
        <f t="shared" si="5"/>
        <v>-290</v>
      </c>
      <c r="M154" s="18"/>
    </row>
    <row r="155" spans="1:13" x14ac:dyDescent="0.25">
      <c r="A155" s="16" t="s">
        <v>36</v>
      </c>
      <c r="B155" s="17" t="s">
        <v>26</v>
      </c>
      <c r="C155" s="12">
        <v>4415</v>
      </c>
      <c r="D155" s="42" t="s">
        <v>23</v>
      </c>
      <c r="E155" s="14">
        <v>23</v>
      </c>
      <c r="F155" s="12">
        <v>10800</v>
      </c>
      <c r="G155" s="12">
        <v>34000</v>
      </c>
      <c r="H155" s="43">
        <f t="shared" si="4"/>
        <v>23200</v>
      </c>
      <c r="I155" s="44">
        <f>IFERROR(VLOOKUP("CM-SHA 11-"&amp;C155,'[1]Light Weight'!B:C,2,0),"")</f>
        <v>10430</v>
      </c>
      <c r="J155" s="15">
        <v>23470</v>
      </c>
      <c r="K155" s="45">
        <f t="shared" si="5"/>
        <v>-270</v>
      </c>
      <c r="M155" s="18"/>
    </row>
    <row r="156" spans="1:13" x14ac:dyDescent="0.25">
      <c r="A156" s="16" t="s">
        <v>36</v>
      </c>
      <c r="B156" s="17" t="s">
        <v>27</v>
      </c>
      <c r="C156" s="12">
        <v>4406</v>
      </c>
      <c r="D156" s="42" t="s">
        <v>23</v>
      </c>
      <c r="E156" s="14">
        <v>22</v>
      </c>
      <c r="F156" s="12">
        <v>10800</v>
      </c>
      <c r="G156" s="12">
        <v>33100</v>
      </c>
      <c r="H156" s="43">
        <f t="shared" si="4"/>
        <v>22300</v>
      </c>
      <c r="I156" s="44">
        <f>IFERROR(VLOOKUP("CM-SHA 11-"&amp;C156,'[1]Light Weight'!B:C,2,0),"")</f>
        <v>10440</v>
      </c>
      <c r="J156" s="15">
        <v>22670</v>
      </c>
      <c r="K156" s="45">
        <f t="shared" si="5"/>
        <v>-370</v>
      </c>
      <c r="M156" s="18"/>
    </row>
    <row r="157" spans="1:13" x14ac:dyDescent="0.25">
      <c r="A157" s="16" t="s">
        <v>36</v>
      </c>
      <c r="B157" s="17" t="s">
        <v>27</v>
      </c>
      <c r="C157" s="12">
        <v>4415</v>
      </c>
      <c r="D157" s="42" t="s">
        <v>23</v>
      </c>
      <c r="E157" s="14">
        <v>22</v>
      </c>
      <c r="F157" s="12">
        <v>10800</v>
      </c>
      <c r="G157" s="12">
        <v>33100</v>
      </c>
      <c r="H157" s="43">
        <f t="shared" si="4"/>
        <v>22300</v>
      </c>
      <c r="I157" s="44">
        <f>IFERROR(VLOOKUP("CM-SHA 11-"&amp;C157,'[1]Light Weight'!B:C,2,0),"")</f>
        <v>10430</v>
      </c>
      <c r="J157" s="15">
        <v>22660</v>
      </c>
      <c r="K157" s="45">
        <f t="shared" si="5"/>
        <v>-360</v>
      </c>
      <c r="M157" s="18"/>
    </row>
    <row r="158" spans="1:13" x14ac:dyDescent="0.25">
      <c r="A158" s="16" t="s">
        <v>36</v>
      </c>
      <c r="B158" s="17" t="s">
        <v>27</v>
      </c>
      <c r="C158" s="12">
        <v>4413</v>
      </c>
      <c r="D158" s="42" t="s">
        <v>23</v>
      </c>
      <c r="E158" s="14">
        <v>22</v>
      </c>
      <c r="F158" s="12">
        <v>10800</v>
      </c>
      <c r="G158" s="12">
        <v>33000</v>
      </c>
      <c r="H158" s="43">
        <f t="shared" si="4"/>
        <v>22200</v>
      </c>
      <c r="I158" s="44">
        <f>IFERROR(VLOOKUP("CM-SHA 11-"&amp;C158,'[1]Light Weight'!B:C,2,0),"")</f>
        <v>10380</v>
      </c>
      <c r="J158" s="15">
        <v>22580</v>
      </c>
      <c r="K158" s="45">
        <f t="shared" si="5"/>
        <v>-380</v>
      </c>
      <c r="M158" s="18"/>
    </row>
    <row r="159" spans="1:13" x14ac:dyDescent="0.25">
      <c r="A159" s="16" t="s">
        <v>36</v>
      </c>
      <c r="B159" s="17" t="s">
        <v>27</v>
      </c>
      <c r="C159" s="12">
        <v>3931</v>
      </c>
      <c r="D159" s="42" t="s">
        <v>23</v>
      </c>
      <c r="E159" s="14">
        <v>22</v>
      </c>
      <c r="F159" s="12">
        <v>10700</v>
      </c>
      <c r="G159" s="12">
        <v>32900</v>
      </c>
      <c r="H159" s="43">
        <f t="shared" si="4"/>
        <v>22200</v>
      </c>
      <c r="I159" s="44">
        <f>IFERROR(VLOOKUP("CM-SHA 11-"&amp;C159,'[1]Light Weight'!B:C,2,0),"")</f>
        <v>10520</v>
      </c>
      <c r="J159" s="15">
        <v>22440</v>
      </c>
      <c r="K159" s="45">
        <f t="shared" si="5"/>
        <v>-240</v>
      </c>
      <c r="M159" s="18"/>
    </row>
    <row r="160" spans="1:13" x14ac:dyDescent="0.25">
      <c r="A160" s="16" t="s">
        <v>36</v>
      </c>
      <c r="B160" s="17" t="s">
        <v>27</v>
      </c>
      <c r="C160" s="12">
        <v>3929</v>
      </c>
      <c r="D160" s="42" t="s">
        <v>23</v>
      </c>
      <c r="E160" s="14">
        <v>22</v>
      </c>
      <c r="F160" s="12">
        <v>10800</v>
      </c>
      <c r="G160" s="12">
        <v>33100</v>
      </c>
      <c r="H160" s="43">
        <f t="shared" si="4"/>
        <v>22300</v>
      </c>
      <c r="I160" s="44">
        <f>IFERROR(VLOOKUP("CM-SHA 11-"&amp;C160,'[1]Light Weight'!B:C,2,0),"")</f>
        <v>10400</v>
      </c>
      <c r="J160" s="15">
        <v>22580</v>
      </c>
      <c r="K160" s="45">
        <f t="shared" si="5"/>
        <v>-280</v>
      </c>
      <c r="M160" s="18"/>
    </row>
    <row r="161" spans="1:13" x14ac:dyDescent="0.25">
      <c r="A161" s="16" t="s">
        <v>36</v>
      </c>
      <c r="B161" s="17" t="s">
        <v>27</v>
      </c>
      <c r="C161" s="12">
        <v>3933</v>
      </c>
      <c r="D161" s="42" t="s">
        <v>23</v>
      </c>
      <c r="E161" s="14">
        <v>22</v>
      </c>
      <c r="F161" s="12">
        <v>10900</v>
      </c>
      <c r="G161" s="12">
        <v>33000</v>
      </c>
      <c r="H161" s="43">
        <f t="shared" si="4"/>
        <v>22100</v>
      </c>
      <c r="I161" s="44">
        <f>IFERROR(VLOOKUP("CM-SHA 11-"&amp;C161,'[1]Light Weight'!B:C,2,0),"")</f>
        <v>10410</v>
      </c>
      <c r="J161" s="15">
        <v>22340</v>
      </c>
      <c r="K161" s="45">
        <f t="shared" si="5"/>
        <v>-240</v>
      </c>
      <c r="M161" s="18"/>
    </row>
    <row r="162" spans="1:13" x14ac:dyDescent="0.25">
      <c r="A162" s="16" t="s">
        <v>36</v>
      </c>
      <c r="B162" s="17" t="s">
        <v>27</v>
      </c>
      <c r="C162" s="12">
        <v>4409</v>
      </c>
      <c r="D162" s="42" t="s">
        <v>23</v>
      </c>
      <c r="E162" s="14">
        <v>22</v>
      </c>
      <c r="F162" s="12">
        <v>10800</v>
      </c>
      <c r="G162" s="12">
        <v>32900</v>
      </c>
      <c r="H162" s="43">
        <f t="shared" si="4"/>
        <v>22100</v>
      </c>
      <c r="I162" s="44">
        <f>IFERROR(VLOOKUP("CM-SHA 11-"&amp;C162,'[1]Light Weight'!B:C,2,0),"")</f>
        <v>10450</v>
      </c>
      <c r="J162" s="15">
        <v>22450</v>
      </c>
      <c r="K162" s="45">
        <f t="shared" si="5"/>
        <v>-350</v>
      </c>
      <c r="M162" s="18"/>
    </row>
    <row r="163" spans="1:13" x14ac:dyDescent="0.25">
      <c r="A163" s="16" t="s">
        <v>36</v>
      </c>
      <c r="B163" s="17" t="s">
        <v>27</v>
      </c>
      <c r="C163" s="12">
        <v>4405</v>
      </c>
      <c r="D163" s="42" t="s">
        <v>23</v>
      </c>
      <c r="E163" s="14">
        <v>22</v>
      </c>
      <c r="F163" s="12">
        <v>10700</v>
      </c>
      <c r="G163" s="12">
        <v>32900</v>
      </c>
      <c r="H163" s="43">
        <f t="shared" si="4"/>
        <v>22200</v>
      </c>
      <c r="I163" s="44">
        <f>IFERROR(VLOOKUP("CM-SHA 11-"&amp;C163,'[1]Light Weight'!B:C,2,0),"")</f>
        <v>10380</v>
      </c>
      <c r="J163" s="15">
        <v>22440</v>
      </c>
      <c r="K163" s="45">
        <f t="shared" si="5"/>
        <v>-240</v>
      </c>
      <c r="M163" s="18"/>
    </row>
    <row r="164" spans="1:13" x14ac:dyDescent="0.25">
      <c r="A164" s="16" t="s">
        <v>36</v>
      </c>
      <c r="B164" s="17" t="s">
        <v>27</v>
      </c>
      <c r="C164" s="12">
        <v>4403</v>
      </c>
      <c r="D164" s="42" t="s">
        <v>23</v>
      </c>
      <c r="E164" s="14">
        <v>22</v>
      </c>
      <c r="F164" s="12">
        <v>10700</v>
      </c>
      <c r="G164" s="12">
        <v>33000</v>
      </c>
      <c r="H164" s="43">
        <f t="shared" si="4"/>
        <v>22300</v>
      </c>
      <c r="I164" s="44">
        <f>IFERROR(VLOOKUP("CM-SHA 11-"&amp;C164,'[1]Light Weight'!B:C,2,0),"")</f>
        <v>10480</v>
      </c>
      <c r="J164" s="15">
        <v>22450</v>
      </c>
      <c r="K164" s="45">
        <f t="shared" si="5"/>
        <v>-150</v>
      </c>
      <c r="M164" s="18"/>
    </row>
    <row r="165" spans="1:13" x14ac:dyDescent="0.25">
      <c r="A165" s="16" t="s">
        <v>36</v>
      </c>
      <c r="B165" s="17" t="s">
        <v>27</v>
      </c>
      <c r="C165" s="12">
        <v>4407</v>
      </c>
      <c r="D165" s="42" t="s">
        <v>23</v>
      </c>
      <c r="E165" s="14">
        <v>22</v>
      </c>
      <c r="F165" s="12">
        <v>10800</v>
      </c>
      <c r="G165" s="12">
        <v>33000</v>
      </c>
      <c r="H165" s="43">
        <f t="shared" si="4"/>
        <v>22200</v>
      </c>
      <c r="I165" s="44">
        <f>IFERROR(VLOOKUP("CM-SHA 11-"&amp;C165,'[1]Light Weight'!B:C,2,0),"")</f>
        <v>10420</v>
      </c>
      <c r="J165" s="15">
        <v>22510</v>
      </c>
      <c r="K165" s="45">
        <f t="shared" si="5"/>
        <v>-310</v>
      </c>
      <c r="M165" s="18"/>
    </row>
    <row r="166" spans="1:13" x14ac:dyDescent="0.25">
      <c r="A166" s="16" t="s">
        <v>36</v>
      </c>
      <c r="B166" s="17" t="s">
        <v>27</v>
      </c>
      <c r="C166" s="12">
        <v>4112</v>
      </c>
      <c r="D166" s="42" t="s">
        <v>23</v>
      </c>
      <c r="E166" s="14">
        <v>18</v>
      </c>
      <c r="F166" s="12">
        <v>10600</v>
      </c>
      <c r="G166" s="12">
        <v>29000</v>
      </c>
      <c r="H166" s="43">
        <f t="shared" si="4"/>
        <v>18400</v>
      </c>
      <c r="I166" s="44">
        <f>IFERROR(VLOOKUP("CM-SHA 11-"&amp;C166,'[1]Light Weight'!B:C,2,0),"")</f>
        <v>10460</v>
      </c>
      <c r="J166" s="15">
        <v>18480</v>
      </c>
      <c r="K166" s="45">
        <f t="shared" si="5"/>
        <v>-80</v>
      </c>
      <c r="M166" s="18"/>
    </row>
    <row r="167" spans="1:13" x14ac:dyDescent="0.25">
      <c r="A167" s="16"/>
      <c r="B167" s="17"/>
      <c r="C167" s="12"/>
      <c r="D167" s="42" t="s">
        <v>23</v>
      </c>
      <c r="E167" s="14"/>
      <c r="F167" s="12"/>
      <c r="G167" s="12"/>
      <c r="H167" s="43">
        <f t="shared" si="4"/>
        <v>0</v>
      </c>
      <c r="I167" s="44" t="str">
        <f>IFERROR(VLOOKUP("CM-SHA 11-"&amp;C167,'[1]Light Weight'!B:C,2,0),"")</f>
        <v/>
      </c>
      <c r="J167" s="15"/>
      <c r="K167" s="45">
        <f t="shared" si="5"/>
        <v>0</v>
      </c>
      <c r="M167" s="18"/>
    </row>
    <row r="168" spans="1:13" x14ac:dyDescent="0.25">
      <c r="A168" s="16" t="s">
        <v>44</v>
      </c>
      <c r="B168" s="17" t="s">
        <v>25</v>
      </c>
      <c r="C168" s="12">
        <v>4411</v>
      </c>
      <c r="D168" s="42" t="s">
        <v>23</v>
      </c>
      <c r="E168" s="14">
        <v>18</v>
      </c>
      <c r="F168" s="12">
        <v>10700</v>
      </c>
      <c r="G168" s="12">
        <v>28900</v>
      </c>
      <c r="H168" s="43">
        <f t="shared" si="4"/>
        <v>18200</v>
      </c>
      <c r="I168" s="44">
        <f>IFERROR(VLOOKUP("CM-SHA 11-"&amp;C168,'[1]Light Weight'!B:C,2,0),"")</f>
        <v>10340</v>
      </c>
      <c r="J168" s="15">
        <v>18440</v>
      </c>
      <c r="K168" s="45">
        <f t="shared" si="5"/>
        <v>-240</v>
      </c>
      <c r="M168" s="18"/>
    </row>
    <row r="169" spans="1:13" x14ac:dyDescent="0.25">
      <c r="A169" s="16" t="s">
        <v>44</v>
      </c>
      <c r="B169" s="17" t="s">
        <v>25</v>
      </c>
      <c r="C169" s="12">
        <v>4410</v>
      </c>
      <c r="D169" s="42" t="s">
        <v>23</v>
      </c>
      <c r="E169" s="14">
        <v>18</v>
      </c>
      <c r="F169" s="12">
        <v>10800</v>
      </c>
      <c r="G169" s="12">
        <v>28900</v>
      </c>
      <c r="H169" s="43">
        <f t="shared" si="4"/>
        <v>18100</v>
      </c>
      <c r="I169" s="44">
        <f>IFERROR(VLOOKUP("CM-SHA 11-"&amp;C169,'[1]Light Weight'!B:C,2,0),"")</f>
        <v>10500</v>
      </c>
      <c r="J169" s="15">
        <v>18380</v>
      </c>
      <c r="K169" s="45">
        <f t="shared" si="5"/>
        <v>-280</v>
      </c>
      <c r="M169" s="18"/>
    </row>
    <row r="170" spans="1:13" x14ac:dyDescent="0.25">
      <c r="A170" s="16" t="s">
        <v>44</v>
      </c>
      <c r="B170" s="17" t="s">
        <v>25</v>
      </c>
      <c r="C170" s="12">
        <v>4402</v>
      </c>
      <c r="D170" s="42" t="s">
        <v>23</v>
      </c>
      <c r="E170" s="14">
        <v>18</v>
      </c>
      <c r="F170" s="12">
        <v>10700</v>
      </c>
      <c r="G170" s="12">
        <v>28900</v>
      </c>
      <c r="H170" s="43">
        <f t="shared" si="4"/>
        <v>18200</v>
      </c>
      <c r="I170" s="44">
        <f>IFERROR(VLOOKUP("CM-SHA 11-"&amp;C170,'[1]Light Weight'!B:C,2,0),"")</f>
        <v>10420</v>
      </c>
      <c r="J170" s="15">
        <v>18480</v>
      </c>
      <c r="K170" s="45">
        <f t="shared" si="5"/>
        <v>-280</v>
      </c>
      <c r="M170" s="18"/>
    </row>
    <row r="171" spans="1:13" x14ac:dyDescent="0.25">
      <c r="A171" s="16" t="s">
        <v>44</v>
      </c>
      <c r="B171" s="17" t="s">
        <v>26</v>
      </c>
      <c r="C171" s="12">
        <v>3932</v>
      </c>
      <c r="D171" s="42" t="s">
        <v>23</v>
      </c>
      <c r="E171" s="14">
        <v>18</v>
      </c>
      <c r="F171" s="12">
        <v>10700</v>
      </c>
      <c r="G171" s="12">
        <v>29000</v>
      </c>
      <c r="H171" s="43">
        <f t="shared" si="4"/>
        <v>18300</v>
      </c>
      <c r="I171" s="44">
        <f>IFERROR(VLOOKUP("CM-SHA 11-"&amp;C171,'[1]Light Weight'!B:C,2,0),"")</f>
        <v>10360</v>
      </c>
      <c r="J171" s="15">
        <v>18550</v>
      </c>
      <c r="K171" s="45">
        <f t="shared" si="5"/>
        <v>-250</v>
      </c>
      <c r="M171" s="18"/>
    </row>
    <row r="172" spans="1:13" x14ac:dyDescent="0.25">
      <c r="A172" s="16" t="s">
        <v>44</v>
      </c>
      <c r="B172" s="17" t="s">
        <v>26</v>
      </c>
      <c r="C172" s="12">
        <v>4113</v>
      </c>
      <c r="D172" s="42" t="s">
        <v>23</v>
      </c>
      <c r="E172" s="14">
        <v>18</v>
      </c>
      <c r="F172" s="12">
        <v>10700</v>
      </c>
      <c r="G172" s="12">
        <v>28900</v>
      </c>
      <c r="H172" s="43">
        <f t="shared" si="4"/>
        <v>18200</v>
      </c>
      <c r="I172" s="44">
        <f>IFERROR(VLOOKUP("CM-SHA 11-"&amp;C172,'[1]Light Weight'!B:C,2,0),"")</f>
        <v>10430</v>
      </c>
      <c r="J172" s="15">
        <v>18470</v>
      </c>
      <c r="K172" s="45">
        <f t="shared" si="5"/>
        <v>-270</v>
      </c>
      <c r="M172" s="18"/>
    </row>
    <row r="173" spans="1:13" x14ac:dyDescent="0.25">
      <c r="A173" s="16" t="s">
        <v>44</v>
      </c>
      <c r="B173" s="17" t="s">
        <v>26</v>
      </c>
      <c r="C173" s="12">
        <v>4115</v>
      </c>
      <c r="D173" s="42" t="s">
        <v>23</v>
      </c>
      <c r="E173" s="14">
        <v>18</v>
      </c>
      <c r="F173" s="12">
        <v>10700</v>
      </c>
      <c r="G173" s="12">
        <v>29000</v>
      </c>
      <c r="H173" s="43">
        <f t="shared" si="4"/>
        <v>18300</v>
      </c>
      <c r="I173" s="44">
        <f>IFERROR(VLOOKUP("CM-SHA 11-"&amp;C173,'[1]Light Weight'!B:C,2,0),"")</f>
        <v>10460</v>
      </c>
      <c r="J173" s="15">
        <v>18620</v>
      </c>
      <c r="K173" s="45">
        <f t="shared" si="5"/>
        <v>-320</v>
      </c>
      <c r="M173" s="18"/>
    </row>
    <row r="174" spans="1:13" x14ac:dyDescent="0.25">
      <c r="A174" s="16" t="s">
        <v>44</v>
      </c>
      <c r="B174" s="17" t="s">
        <v>26</v>
      </c>
      <c r="C174" s="12">
        <v>3930</v>
      </c>
      <c r="D174" s="42" t="s">
        <v>23</v>
      </c>
      <c r="E174" s="14">
        <v>18</v>
      </c>
      <c r="F174" s="12">
        <v>10700</v>
      </c>
      <c r="G174" s="12">
        <v>28900</v>
      </c>
      <c r="H174" s="43">
        <f t="shared" si="4"/>
        <v>18200</v>
      </c>
      <c r="I174" s="44">
        <f>IFERROR(VLOOKUP("CM-SHA 11-"&amp;C174,'[1]Light Weight'!B:C,2,0),"")</f>
        <v>10450</v>
      </c>
      <c r="J174" s="15">
        <v>18580</v>
      </c>
      <c r="K174" s="45">
        <f t="shared" si="5"/>
        <v>-380</v>
      </c>
      <c r="M174" s="18"/>
    </row>
    <row r="175" spans="1:13" x14ac:dyDescent="0.25">
      <c r="A175" s="16" t="s">
        <v>44</v>
      </c>
      <c r="B175" s="17" t="s">
        <v>26</v>
      </c>
      <c r="C175" s="12">
        <v>4416</v>
      </c>
      <c r="D175" s="42" t="s">
        <v>23</v>
      </c>
      <c r="E175" s="14">
        <v>18</v>
      </c>
      <c r="F175" s="12">
        <v>10800</v>
      </c>
      <c r="G175" s="12">
        <v>29300</v>
      </c>
      <c r="H175" s="43">
        <f t="shared" si="4"/>
        <v>18500</v>
      </c>
      <c r="I175" s="44">
        <v>10390</v>
      </c>
      <c r="J175" s="15">
        <v>18820</v>
      </c>
      <c r="K175" s="45">
        <f t="shared" si="5"/>
        <v>-320</v>
      </c>
      <c r="M175" s="18"/>
    </row>
    <row r="176" spans="1:13" x14ac:dyDescent="0.25">
      <c r="A176" s="16" t="s">
        <v>44</v>
      </c>
      <c r="B176" s="17" t="s">
        <v>26</v>
      </c>
      <c r="C176" s="12">
        <v>4114</v>
      </c>
      <c r="D176" s="42" t="s">
        <v>23</v>
      </c>
      <c r="E176" s="14">
        <v>22</v>
      </c>
      <c r="F176" s="12">
        <v>10700</v>
      </c>
      <c r="G176" s="12">
        <v>33000</v>
      </c>
      <c r="H176" s="43">
        <f t="shared" si="4"/>
        <v>22300</v>
      </c>
      <c r="I176" s="44">
        <f>IFERROR(VLOOKUP("CM-SHA 11-"&amp;C176,'[1]Light Weight'!B:C,2,0),"")</f>
        <v>10550</v>
      </c>
      <c r="J176" s="15">
        <v>22430</v>
      </c>
      <c r="K176" s="45">
        <f t="shared" si="5"/>
        <v>-130</v>
      </c>
      <c r="M176" s="18"/>
    </row>
    <row r="177" spans="1:13" x14ac:dyDescent="0.25">
      <c r="A177" s="16" t="s">
        <v>44</v>
      </c>
      <c r="B177" s="17" t="s">
        <v>26</v>
      </c>
      <c r="C177" s="12">
        <v>4407</v>
      </c>
      <c r="D177" s="42" t="s">
        <v>23</v>
      </c>
      <c r="E177" s="14">
        <v>22</v>
      </c>
      <c r="F177" s="12">
        <v>10600</v>
      </c>
      <c r="G177" s="12">
        <v>32800</v>
      </c>
      <c r="H177" s="43">
        <f t="shared" si="4"/>
        <v>22200</v>
      </c>
      <c r="I177" s="44">
        <f>IFERROR(VLOOKUP("CM-SHA 11-"&amp;C177,'[1]Light Weight'!B:C,2,0),"")</f>
        <v>10420</v>
      </c>
      <c r="J177" s="15">
        <v>22450</v>
      </c>
      <c r="K177" s="45">
        <f t="shared" si="5"/>
        <v>-250</v>
      </c>
      <c r="M177" s="18"/>
    </row>
    <row r="178" spans="1:13" x14ac:dyDescent="0.25">
      <c r="A178" s="16" t="s">
        <v>44</v>
      </c>
      <c r="B178" s="17" t="s">
        <v>26</v>
      </c>
      <c r="C178" s="12">
        <v>3931</v>
      </c>
      <c r="D178" s="42" t="s">
        <v>23</v>
      </c>
      <c r="E178" s="14">
        <v>23</v>
      </c>
      <c r="F178" s="12">
        <v>10700</v>
      </c>
      <c r="G178" s="12">
        <v>33900</v>
      </c>
      <c r="H178" s="43">
        <f t="shared" si="4"/>
        <v>23200</v>
      </c>
      <c r="I178" s="44">
        <f>IFERROR(VLOOKUP("CM-SHA 11-"&amp;C178,'[1]Light Weight'!B:C,2,0),"")</f>
        <v>10520</v>
      </c>
      <c r="J178" s="15">
        <v>23390</v>
      </c>
      <c r="K178" s="45">
        <f t="shared" si="5"/>
        <v>-190</v>
      </c>
      <c r="M178" s="18"/>
    </row>
    <row r="179" spans="1:13" x14ac:dyDescent="0.25">
      <c r="A179" s="16" t="s">
        <v>44</v>
      </c>
      <c r="B179" s="17" t="s">
        <v>26</v>
      </c>
      <c r="C179" s="12">
        <v>3933</v>
      </c>
      <c r="D179" s="42" t="s">
        <v>23</v>
      </c>
      <c r="E179" s="14">
        <v>23</v>
      </c>
      <c r="F179" s="12">
        <v>10800</v>
      </c>
      <c r="G179" s="12">
        <v>33900</v>
      </c>
      <c r="H179" s="43">
        <f t="shared" si="4"/>
        <v>23100</v>
      </c>
      <c r="I179" s="44">
        <f>IFERROR(VLOOKUP("CM-SHA 11-"&amp;C179,'[1]Light Weight'!B:C,2,0),"")</f>
        <v>10410</v>
      </c>
      <c r="J179" s="15">
        <v>23480</v>
      </c>
      <c r="K179" s="45">
        <f t="shared" si="5"/>
        <v>-380</v>
      </c>
      <c r="M179" s="18"/>
    </row>
    <row r="180" spans="1:13" x14ac:dyDescent="0.25">
      <c r="A180" s="16" t="s">
        <v>44</v>
      </c>
      <c r="B180" s="17" t="s">
        <v>27</v>
      </c>
      <c r="C180" s="12">
        <v>428</v>
      </c>
      <c r="D180" s="42" t="s">
        <v>23</v>
      </c>
      <c r="E180" s="14">
        <v>17</v>
      </c>
      <c r="F180" s="12">
        <v>11900</v>
      </c>
      <c r="G180" s="12">
        <v>29500</v>
      </c>
      <c r="H180" s="43">
        <f t="shared" si="4"/>
        <v>17600</v>
      </c>
      <c r="I180" s="44">
        <v>11790</v>
      </c>
      <c r="J180" s="15">
        <v>17620</v>
      </c>
      <c r="K180" s="45">
        <f t="shared" si="5"/>
        <v>-20</v>
      </c>
      <c r="M180" s="18"/>
    </row>
    <row r="181" spans="1:13" x14ac:dyDescent="0.25">
      <c r="A181" s="16" t="s">
        <v>44</v>
      </c>
      <c r="B181" s="17" t="s">
        <v>27</v>
      </c>
      <c r="C181" s="12">
        <v>4413</v>
      </c>
      <c r="D181" s="42" t="s">
        <v>23</v>
      </c>
      <c r="E181" s="14">
        <v>22</v>
      </c>
      <c r="F181" s="12">
        <v>10800</v>
      </c>
      <c r="G181" s="12">
        <v>33200</v>
      </c>
      <c r="H181" s="43">
        <f t="shared" si="4"/>
        <v>22400</v>
      </c>
      <c r="I181" s="44">
        <f>IFERROR(VLOOKUP("CM-SHA 11-"&amp;C181,'[1]Light Weight'!B:C,2,0),"")</f>
        <v>10380</v>
      </c>
      <c r="J181" s="15">
        <v>22630</v>
      </c>
      <c r="K181" s="45">
        <f t="shared" si="5"/>
        <v>-230</v>
      </c>
      <c r="M181" s="18"/>
    </row>
    <row r="182" spans="1:13" x14ac:dyDescent="0.25">
      <c r="A182" s="16" t="s">
        <v>44</v>
      </c>
      <c r="B182" s="17" t="s">
        <v>27</v>
      </c>
      <c r="C182" s="12">
        <v>4409</v>
      </c>
      <c r="D182" s="42" t="s">
        <v>23</v>
      </c>
      <c r="E182" s="14">
        <v>22</v>
      </c>
      <c r="F182" s="12">
        <v>10900</v>
      </c>
      <c r="G182" s="12">
        <v>33100</v>
      </c>
      <c r="H182" s="43">
        <f t="shared" si="4"/>
        <v>22200</v>
      </c>
      <c r="I182" s="44">
        <f>IFERROR(VLOOKUP("CM-SHA 11-"&amp;C182,'[1]Light Weight'!B:C,2,0),"")</f>
        <v>10450</v>
      </c>
      <c r="J182" s="15">
        <v>22570</v>
      </c>
      <c r="K182" s="45">
        <f t="shared" si="5"/>
        <v>-370</v>
      </c>
      <c r="M182" s="18"/>
    </row>
    <row r="183" spans="1:13" x14ac:dyDescent="0.25">
      <c r="A183" s="16" t="s">
        <v>44</v>
      </c>
      <c r="B183" s="17" t="s">
        <v>27</v>
      </c>
      <c r="C183" s="12">
        <v>4403</v>
      </c>
      <c r="D183" s="42" t="s">
        <v>23</v>
      </c>
      <c r="E183" s="14">
        <v>22</v>
      </c>
      <c r="F183" s="12">
        <v>10800</v>
      </c>
      <c r="G183" s="12">
        <v>33000</v>
      </c>
      <c r="H183" s="43">
        <f t="shared" si="4"/>
        <v>22200</v>
      </c>
      <c r="I183" s="44">
        <f>IFERROR(VLOOKUP("CM-SHA 11-"&amp;C183,'[1]Light Weight'!B:C,2,0),"")</f>
        <v>10480</v>
      </c>
      <c r="J183" s="15">
        <v>22450</v>
      </c>
      <c r="K183" s="45">
        <f t="shared" si="5"/>
        <v>-250</v>
      </c>
      <c r="M183" s="18"/>
    </row>
    <row r="184" spans="1:13" x14ac:dyDescent="0.25">
      <c r="A184" s="16" t="s">
        <v>44</v>
      </c>
      <c r="B184" s="17" t="s">
        <v>27</v>
      </c>
      <c r="C184" s="12">
        <v>3933</v>
      </c>
      <c r="D184" s="42" t="s">
        <v>23</v>
      </c>
      <c r="E184" s="14">
        <v>22</v>
      </c>
      <c r="F184" s="12">
        <v>10700</v>
      </c>
      <c r="G184" s="12">
        <v>32900</v>
      </c>
      <c r="H184" s="43">
        <f t="shared" si="4"/>
        <v>22200</v>
      </c>
      <c r="I184" s="44">
        <f>IFERROR(VLOOKUP("CM-SHA 11-"&amp;C184,'[1]Light Weight'!B:C,2,0),"")</f>
        <v>10410</v>
      </c>
      <c r="J184" s="15">
        <v>22490</v>
      </c>
      <c r="K184" s="45">
        <f t="shared" si="5"/>
        <v>-290</v>
      </c>
      <c r="M184" s="18"/>
    </row>
    <row r="185" spans="1:13" x14ac:dyDescent="0.25">
      <c r="A185" s="16"/>
      <c r="B185" s="17"/>
      <c r="C185" s="12"/>
      <c r="D185" s="42" t="s">
        <v>23</v>
      </c>
      <c r="E185" s="14"/>
      <c r="F185" s="12"/>
      <c r="G185" s="12"/>
      <c r="H185" s="43">
        <f t="shared" si="4"/>
        <v>0</v>
      </c>
      <c r="I185" s="44" t="str">
        <f>IFERROR(VLOOKUP("CM-SHA 11-"&amp;C185,'[1]Light Weight'!B:C,2,0),"")</f>
        <v/>
      </c>
      <c r="J185" s="15"/>
      <c r="K185" s="45">
        <f t="shared" si="5"/>
        <v>0</v>
      </c>
      <c r="M185" s="18"/>
    </row>
    <row r="186" spans="1:13" x14ac:dyDescent="0.25">
      <c r="A186" s="16" t="s">
        <v>45</v>
      </c>
      <c r="B186" s="17" t="s">
        <v>27</v>
      </c>
      <c r="C186" s="12">
        <v>4415</v>
      </c>
      <c r="D186" s="42" t="s">
        <v>23</v>
      </c>
      <c r="E186" s="14">
        <v>22</v>
      </c>
      <c r="F186" s="12">
        <v>10800</v>
      </c>
      <c r="G186" s="12">
        <v>33000</v>
      </c>
      <c r="H186" s="43">
        <f t="shared" si="4"/>
        <v>22200</v>
      </c>
      <c r="I186" s="44">
        <f>IFERROR(VLOOKUP("CM-SHA 11-"&amp;C186,'[1]Light Weight'!B:C,2,0),"")</f>
        <v>10430</v>
      </c>
      <c r="J186" s="15">
        <v>22500</v>
      </c>
      <c r="K186" s="45">
        <f t="shared" si="5"/>
        <v>-300</v>
      </c>
      <c r="M186" s="18"/>
    </row>
    <row r="187" spans="1:13" x14ac:dyDescent="0.25">
      <c r="A187" s="16" t="s">
        <v>45</v>
      </c>
      <c r="B187" s="17" t="s">
        <v>25</v>
      </c>
      <c r="C187" s="12">
        <v>3933</v>
      </c>
      <c r="D187" s="42" t="s">
        <v>23</v>
      </c>
      <c r="E187" s="14">
        <v>22</v>
      </c>
      <c r="F187" s="12">
        <v>10800</v>
      </c>
      <c r="G187" s="12">
        <v>33100</v>
      </c>
      <c r="H187" s="43">
        <f t="shared" si="4"/>
        <v>22300</v>
      </c>
      <c r="I187" s="44">
        <f>IFERROR(VLOOKUP("CM-SHA 11-"&amp;C187,'[1]Light Weight'!B:C,2,0),"")</f>
        <v>10410</v>
      </c>
      <c r="J187" s="15">
        <v>22630</v>
      </c>
      <c r="K187" s="45">
        <f t="shared" si="5"/>
        <v>-330</v>
      </c>
      <c r="M187" s="18"/>
    </row>
    <row r="188" spans="1:13" x14ac:dyDescent="0.25">
      <c r="A188" s="16" t="s">
        <v>45</v>
      </c>
      <c r="B188" s="17" t="s">
        <v>25</v>
      </c>
      <c r="C188" s="12">
        <v>4408</v>
      </c>
      <c r="D188" s="42" t="s">
        <v>23</v>
      </c>
      <c r="E188" s="14">
        <v>18</v>
      </c>
      <c r="F188" s="12">
        <v>10700</v>
      </c>
      <c r="G188" s="12">
        <v>28900</v>
      </c>
      <c r="H188" s="43">
        <f t="shared" si="4"/>
        <v>18200</v>
      </c>
      <c r="I188" s="44">
        <f>IFERROR(VLOOKUP("CM-SHA 11-"&amp;C188,'[1]Light Weight'!B:C,2,0),"")</f>
        <v>10420</v>
      </c>
      <c r="J188" s="15">
        <v>18390</v>
      </c>
      <c r="K188" s="45">
        <f t="shared" si="5"/>
        <v>-190</v>
      </c>
      <c r="M188" s="18"/>
    </row>
    <row r="189" spans="1:13" x14ac:dyDescent="0.25">
      <c r="A189" s="16" t="s">
        <v>45</v>
      </c>
      <c r="B189" s="17" t="s">
        <v>25</v>
      </c>
      <c r="C189" s="12">
        <v>4410</v>
      </c>
      <c r="D189" s="42" t="s">
        <v>23</v>
      </c>
      <c r="E189" s="14">
        <v>18</v>
      </c>
      <c r="F189" s="12">
        <v>10700</v>
      </c>
      <c r="G189" s="12">
        <v>28900</v>
      </c>
      <c r="H189" s="43">
        <f t="shared" si="4"/>
        <v>18200</v>
      </c>
      <c r="I189" s="44">
        <f>IFERROR(VLOOKUP("CM-SHA 11-"&amp;C189,'[1]Light Weight'!B:C,2,0),"")</f>
        <v>10500</v>
      </c>
      <c r="J189" s="15">
        <v>18300</v>
      </c>
      <c r="K189" s="45">
        <f t="shared" si="5"/>
        <v>-100</v>
      </c>
      <c r="M189" s="18"/>
    </row>
    <row r="190" spans="1:13" x14ac:dyDescent="0.25">
      <c r="A190" s="16" t="s">
        <v>45</v>
      </c>
      <c r="B190" s="17" t="s">
        <v>25</v>
      </c>
      <c r="C190" s="12">
        <v>4112</v>
      </c>
      <c r="D190" s="42" t="s">
        <v>23</v>
      </c>
      <c r="E190" s="14">
        <v>18</v>
      </c>
      <c r="F190" s="12">
        <v>10700</v>
      </c>
      <c r="G190" s="12">
        <v>29000</v>
      </c>
      <c r="H190" s="43">
        <f t="shared" si="4"/>
        <v>18300</v>
      </c>
      <c r="I190" s="44">
        <f>IFERROR(VLOOKUP("CM-SHA 11-"&amp;C190,'[1]Light Weight'!B:C,2,0),"")</f>
        <v>10460</v>
      </c>
      <c r="J190" s="15">
        <v>18470</v>
      </c>
      <c r="K190" s="45">
        <f t="shared" si="5"/>
        <v>-170</v>
      </c>
      <c r="M190" s="18"/>
    </row>
    <row r="191" spans="1:13" x14ac:dyDescent="0.25">
      <c r="A191" s="16" t="s">
        <v>45</v>
      </c>
      <c r="B191" s="17" t="s">
        <v>25</v>
      </c>
      <c r="C191" s="12">
        <v>4402</v>
      </c>
      <c r="D191" s="42" t="s">
        <v>23</v>
      </c>
      <c r="E191" s="14">
        <v>18</v>
      </c>
      <c r="F191" s="12">
        <v>10700</v>
      </c>
      <c r="G191" s="12">
        <v>29000</v>
      </c>
      <c r="H191" s="43">
        <f t="shared" si="4"/>
        <v>18300</v>
      </c>
      <c r="I191" s="44">
        <f>IFERROR(VLOOKUP("CM-SHA 11-"&amp;C191,'[1]Light Weight'!B:C,2,0),"")</f>
        <v>10420</v>
      </c>
      <c r="J191" s="15">
        <v>18610</v>
      </c>
      <c r="K191" s="45">
        <f t="shared" si="5"/>
        <v>-310</v>
      </c>
      <c r="M191" s="18"/>
    </row>
    <row r="192" spans="1:13" x14ac:dyDescent="0.25">
      <c r="A192" s="16" t="s">
        <v>45</v>
      </c>
      <c r="B192" s="17" t="s">
        <v>25</v>
      </c>
      <c r="C192" s="12">
        <v>428</v>
      </c>
      <c r="D192" s="42" t="s">
        <v>23</v>
      </c>
      <c r="E192" s="14">
        <v>17</v>
      </c>
      <c r="F192" s="12">
        <v>12000</v>
      </c>
      <c r="G192" s="12">
        <v>29500</v>
      </c>
      <c r="H192" s="43">
        <f t="shared" si="4"/>
        <v>17500</v>
      </c>
      <c r="I192" s="44">
        <v>11750</v>
      </c>
      <c r="J192" s="15">
        <v>17620</v>
      </c>
      <c r="K192" s="45">
        <f t="shared" si="5"/>
        <v>-120</v>
      </c>
      <c r="M192" s="18"/>
    </row>
    <row r="193" spans="1:13" x14ac:dyDescent="0.25">
      <c r="A193" s="16" t="s">
        <v>45</v>
      </c>
      <c r="B193" s="17" t="s">
        <v>25</v>
      </c>
      <c r="C193" s="12">
        <v>4406</v>
      </c>
      <c r="D193" s="42" t="s">
        <v>23</v>
      </c>
      <c r="E193" s="14">
        <v>21</v>
      </c>
      <c r="F193" s="12">
        <v>10700</v>
      </c>
      <c r="G193" s="12">
        <v>32000</v>
      </c>
      <c r="H193" s="43">
        <f t="shared" si="4"/>
        <v>21300</v>
      </c>
      <c r="I193" s="44">
        <f>IFERROR(VLOOKUP("CM-SHA 11-"&amp;C193,'[1]Light Weight'!B:C,2,0),"")</f>
        <v>10440</v>
      </c>
      <c r="J193" s="15">
        <v>21760</v>
      </c>
      <c r="K193" s="45">
        <f t="shared" si="5"/>
        <v>-460</v>
      </c>
      <c r="M193" s="18"/>
    </row>
    <row r="194" spans="1:13" x14ac:dyDescent="0.25">
      <c r="A194" s="16" t="s">
        <v>45</v>
      </c>
      <c r="B194" s="17" t="s">
        <v>25</v>
      </c>
      <c r="C194" s="12">
        <v>428</v>
      </c>
      <c r="D194" s="42" t="s">
        <v>23</v>
      </c>
      <c r="E194" s="14">
        <v>17</v>
      </c>
      <c r="F194" s="12">
        <v>11900</v>
      </c>
      <c r="G194" s="12">
        <v>29300</v>
      </c>
      <c r="H194" s="43">
        <f t="shared" si="4"/>
        <v>17400</v>
      </c>
      <c r="I194" s="44">
        <v>11730</v>
      </c>
      <c r="J194" s="15">
        <v>17470</v>
      </c>
      <c r="K194" s="45">
        <f t="shared" si="5"/>
        <v>-70</v>
      </c>
      <c r="M194" s="18"/>
    </row>
    <row r="195" spans="1:13" x14ac:dyDescent="0.25">
      <c r="A195" s="16" t="s">
        <v>45</v>
      </c>
      <c r="B195" s="17" t="s">
        <v>25</v>
      </c>
      <c r="C195" s="12">
        <v>4407</v>
      </c>
      <c r="D195" s="42" t="s">
        <v>23</v>
      </c>
      <c r="E195" s="14">
        <v>23</v>
      </c>
      <c r="F195" s="12">
        <v>10700</v>
      </c>
      <c r="G195" s="12">
        <v>34200</v>
      </c>
      <c r="H195" s="43">
        <f t="shared" si="4"/>
        <v>23500</v>
      </c>
      <c r="I195" s="44">
        <f>IFERROR(VLOOKUP("CM-SHA 11-"&amp;C195,'[1]Light Weight'!B:C,2,0),"")</f>
        <v>10420</v>
      </c>
      <c r="J195" s="15">
        <v>23760</v>
      </c>
      <c r="K195" s="45">
        <f t="shared" si="5"/>
        <v>-260</v>
      </c>
      <c r="M195" s="18"/>
    </row>
    <row r="196" spans="1:13" x14ac:dyDescent="0.25">
      <c r="A196" s="16" t="s">
        <v>45</v>
      </c>
      <c r="B196" s="17" t="s">
        <v>26</v>
      </c>
      <c r="C196" s="12">
        <v>4406</v>
      </c>
      <c r="D196" s="42" t="s">
        <v>23</v>
      </c>
      <c r="E196" s="14">
        <v>23</v>
      </c>
      <c r="F196" s="12">
        <v>10800</v>
      </c>
      <c r="G196" s="12">
        <v>33900</v>
      </c>
      <c r="H196" s="43">
        <f t="shared" si="4"/>
        <v>23100</v>
      </c>
      <c r="I196" s="44">
        <f>IFERROR(VLOOKUP("CM-SHA 11-"&amp;C196,'[1]Light Weight'!B:C,2,0),"")</f>
        <v>10440</v>
      </c>
      <c r="J196" s="15">
        <v>23430</v>
      </c>
      <c r="K196" s="45">
        <f t="shared" si="5"/>
        <v>-330</v>
      </c>
      <c r="M196" s="18"/>
    </row>
    <row r="197" spans="1:13" x14ac:dyDescent="0.25">
      <c r="A197" s="16" t="s">
        <v>45</v>
      </c>
      <c r="B197" s="17" t="s">
        <v>26</v>
      </c>
      <c r="C197" s="12">
        <v>428</v>
      </c>
      <c r="D197" s="42" t="s">
        <v>23</v>
      </c>
      <c r="E197" s="14">
        <v>17</v>
      </c>
      <c r="F197" s="12">
        <v>11900</v>
      </c>
      <c r="G197" s="12">
        <v>29300</v>
      </c>
      <c r="H197" s="43">
        <f t="shared" si="4"/>
        <v>17400</v>
      </c>
      <c r="I197" s="44">
        <v>11730</v>
      </c>
      <c r="J197" s="15">
        <v>17470</v>
      </c>
      <c r="K197" s="45">
        <f t="shared" si="5"/>
        <v>-70</v>
      </c>
      <c r="M197" s="18"/>
    </row>
    <row r="198" spans="1:13" x14ac:dyDescent="0.25">
      <c r="A198" s="16" t="s">
        <v>45</v>
      </c>
      <c r="B198" s="17" t="s">
        <v>26</v>
      </c>
      <c r="C198" s="12">
        <v>2322</v>
      </c>
      <c r="D198" s="42" t="s">
        <v>23</v>
      </c>
      <c r="E198" s="14">
        <v>24</v>
      </c>
      <c r="F198" s="12">
        <v>12200</v>
      </c>
      <c r="G198" s="12">
        <v>37000</v>
      </c>
      <c r="H198" s="43">
        <f t="shared" si="4"/>
        <v>24800</v>
      </c>
      <c r="I198" s="44">
        <v>12080</v>
      </c>
      <c r="J198" s="15">
        <v>24980</v>
      </c>
      <c r="K198" s="45">
        <f t="shared" si="5"/>
        <v>-180</v>
      </c>
      <c r="M198" s="18"/>
    </row>
    <row r="199" spans="1:13" x14ac:dyDescent="0.25">
      <c r="A199" s="16" t="s">
        <v>45</v>
      </c>
      <c r="B199" s="17" t="s">
        <v>26</v>
      </c>
      <c r="C199" s="12">
        <v>4409</v>
      </c>
      <c r="D199" s="42" t="s">
        <v>23</v>
      </c>
      <c r="E199" s="14">
        <v>23</v>
      </c>
      <c r="F199" s="12">
        <v>10700</v>
      </c>
      <c r="G199" s="12">
        <v>33900</v>
      </c>
      <c r="H199" s="43">
        <f t="shared" si="4"/>
        <v>23200</v>
      </c>
      <c r="I199" s="44">
        <f>IFERROR(VLOOKUP("CM-SHA 11-"&amp;C199,'[1]Light Weight'!B:C,2,0),"")</f>
        <v>10450</v>
      </c>
      <c r="J199" s="15">
        <v>23390</v>
      </c>
      <c r="K199" s="45">
        <f t="shared" si="5"/>
        <v>-190</v>
      </c>
      <c r="M199" s="18"/>
    </row>
    <row r="200" spans="1:13" x14ac:dyDescent="0.25">
      <c r="A200" s="16" t="s">
        <v>45</v>
      </c>
      <c r="B200" s="17" t="s">
        <v>26</v>
      </c>
      <c r="C200" s="12">
        <v>3932</v>
      </c>
      <c r="D200" s="42" t="s">
        <v>23</v>
      </c>
      <c r="E200" s="14">
        <v>23</v>
      </c>
      <c r="F200" s="12">
        <v>10600</v>
      </c>
      <c r="G200" s="12">
        <v>33800</v>
      </c>
      <c r="H200" s="43">
        <f t="shared" si="4"/>
        <v>23200</v>
      </c>
      <c r="I200" s="44">
        <f>IFERROR(VLOOKUP("CM-SHA 11-"&amp;C200,'[1]Light Weight'!B:C,2,0),"")</f>
        <v>10360</v>
      </c>
      <c r="J200" s="15">
        <v>23350</v>
      </c>
      <c r="K200" s="45">
        <f t="shared" si="5"/>
        <v>-150</v>
      </c>
      <c r="M200" s="18"/>
    </row>
    <row r="201" spans="1:13" x14ac:dyDescent="0.25">
      <c r="A201" s="16" t="s">
        <v>45</v>
      </c>
      <c r="B201" s="17" t="s">
        <v>26</v>
      </c>
      <c r="C201" s="12">
        <v>4403</v>
      </c>
      <c r="D201" s="42" t="s">
        <v>23</v>
      </c>
      <c r="E201" s="14">
        <v>23</v>
      </c>
      <c r="F201" s="12">
        <v>10700</v>
      </c>
      <c r="G201" s="12">
        <v>34100</v>
      </c>
      <c r="H201" s="43">
        <f t="shared" si="4"/>
        <v>23400</v>
      </c>
      <c r="I201" s="44">
        <f>IFERROR(VLOOKUP("CM-SHA 11-"&amp;C201,'[1]Light Weight'!B:C,2,0),"")</f>
        <v>10480</v>
      </c>
      <c r="J201" s="15">
        <v>23600</v>
      </c>
      <c r="K201" s="45">
        <f t="shared" si="5"/>
        <v>-200</v>
      </c>
      <c r="M201" s="18"/>
    </row>
    <row r="202" spans="1:13" x14ac:dyDescent="0.25">
      <c r="A202" s="16" t="s">
        <v>45</v>
      </c>
      <c r="B202" s="17" t="s">
        <v>26</v>
      </c>
      <c r="C202" s="12">
        <v>4414</v>
      </c>
      <c r="D202" s="42" t="s">
        <v>23</v>
      </c>
      <c r="E202" s="14">
        <v>22</v>
      </c>
      <c r="F202" s="12">
        <v>10900</v>
      </c>
      <c r="G202" s="12">
        <v>33000</v>
      </c>
      <c r="H202" s="43">
        <f t="shared" ref="H202:H229" si="6">G202-F202</f>
        <v>22100</v>
      </c>
      <c r="I202" s="44">
        <f>IFERROR(VLOOKUP("CM-SHA 11-"&amp;C202,'[1]Light Weight'!B:C,2,0),"")</f>
        <v>10400</v>
      </c>
      <c r="J202" s="15">
        <v>22320</v>
      </c>
      <c r="K202" s="45">
        <f t="shared" si="5"/>
        <v>-220</v>
      </c>
      <c r="M202" s="18"/>
    </row>
    <row r="203" spans="1:13" x14ac:dyDescent="0.25">
      <c r="A203" s="16" t="s">
        <v>45</v>
      </c>
      <c r="B203" s="17" t="s">
        <v>26</v>
      </c>
      <c r="C203" s="12">
        <v>4404</v>
      </c>
      <c r="D203" s="42" t="s">
        <v>23</v>
      </c>
      <c r="E203" s="14">
        <v>22</v>
      </c>
      <c r="F203" s="12">
        <v>10900</v>
      </c>
      <c r="G203" s="12">
        <v>32800</v>
      </c>
      <c r="H203" s="43">
        <f t="shared" si="6"/>
        <v>21900</v>
      </c>
      <c r="I203" s="44">
        <f>IFERROR(VLOOKUP("CM-SHA 11-"&amp;C203,'[1]Light Weight'!B:C,2,0),"")</f>
        <v>10550</v>
      </c>
      <c r="J203" s="15">
        <v>22190</v>
      </c>
      <c r="K203" s="45">
        <f t="shared" si="5"/>
        <v>-290</v>
      </c>
      <c r="M203" s="18"/>
    </row>
    <row r="204" spans="1:13" x14ac:dyDescent="0.25">
      <c r="A204" s="16" t="s">
        <v>45</v>
      </c>
      <c r="B204" s="19" t="s">
        <v>27</v>
      </c>
      <c r="C204" s="12">
        <v>4412</v>
      </c>
      <c r="D204" s="42" t="s">
        <v>23</v>
      </c>
      <c r="E204" s="14">
        <v>22</v>
      </c>
      <c r="F204" s="12">
        <v>10700</v>
      </c>
      <c r="G204" s="12">
        <v>33000</v>
      </c>
      <c r="H204" s="43">
        <f t="shared" si="6"/>
        <v>22300</v>
      </c>
      <c r="I204" s="44">
        <f>IFERROR(VLOOKUP("CM-SHA 11-"&amp;C204,'[1]Light Weight'!B:C,2,0),"")</f>
        <v>10330</v>
      </c>
      <c r="J204" s="15">
        <v>22700</v>
      </c>
      <c r="K204" s="45">
        <f t="shared" ref="K204:K426" si="7">SUM(H204-J204)</f>
        <v>-400</v>
      </c>
      <c r="M204" s="18"/>
    </row>
    <row r="205" spans="1:13" x14ac:dyDescent="0.25">
      <c r="A205" s="16" t="s">
        <v>45</v>
      </c>
      <c r="B205" s="19" t="s">
        <v>27</v>
      </c>
      <c r="C205" s="12">
        <v>4408</v>
      </c>
      <c r="D205" s="42" t="s">
        <v>23</v>
      </c>
      <c r="E205" s="14">
        <v>22</v>
      </c>
      <c r="F205" s="12">
        <v>10800</v>
      </c>
      <c r="G205" s="12">
        <v>33000</v>
      </c>
      <c r="H205" s="43">
        <f t="shared" si="6"/>
        <v>22200</v>
      </c>
      <c r="I205" s="44">
        <f>IFERROR(VLOOKUP("CM-SHA 11-"&amp;C205,'[1]Light Weight'!B:C,2,0),"")</f>
        <v>10420</v>
      </c>
      <c r="J205" s="15">
        <v>22560</v>
      </c>
      <c r="K205" s="45">
        <f t="shared" si="7"/>
        <v>-360</v>
      </c>
      <c r="M205" s="18"/>
    </row>
    <row r="206" spans="1:13" x14ac:dyDescent="0.25">
      <c r="A206" s="16" t="s">
        <v>45</v>
      </c>
      <c r="B206" s="19" t="s">
        <v>27</v>
      </c>
      <c r="C206" s="12">
        <v>4409</v>
      </c>
      <c r="D206" s="42" t="s">
        <v>23</v>
      </c>
      <c r="E206" s="14">
        <v>22</v>
      </c>
      <c r="F206" s="12">
        <v>10700</v>
      </c>
      <c r="G206" s="12">
        <v>33100</v>
      </c>
      <c r="H206" s="43">
        <f t="shared" si="6"/>
        <v>22400</v>
      </c>
      <c r="I206" s="44">
        <f>IFERROR(VLOOKUP("CM-SHA 11-"&amp;C206,'[1]Light Weight'!B:C,2,0),"")</f>
        <v>10450</v>
      </c>
      <c r="J206" s="15">
        <v>22600</v>
      </c>
      <c r="K206" s="45">
        <f t="shared" si="7"/>
        <v>-200</v>
      </c>
      <c r="M206" s="18"/>
    </row>
    <row r="207" spans="1:13" x14ac:dyDescent="0.25">
      <c r="A207" s="16" t="s">
        <v>45</v>
      </c>
      <c r="B207" s="19" t="s">
        <v>27</v>
      </c>
      <c r="C207" s="12">
        <v>4404</v>
      </c>
      <c r="D207" s="42" t="s">
        <v>23</v>
      </c>
      <c r="E207" s="14">
        <v>22</v>
      </c>
      <c r="F207" s="12">
        <v>10900</v>
      </c>
      <c r="G207" s="12">
        <v>33000</v>
      </c>
      <c r="H207" s="43">
        <f t="shared" si="6"/>
        <v>22100</v>
      </c>
      <c r="I207" s="44">
        <f>IFERROR(VLOOKUP("CM-SHA 11-"&amp;C207,'[1]Light Weight'!B:C,2,0),"")</f>
        <v>10550</v>
      </c>
      <c r="J207" s="15">
        <v>22440</v>
      </c>
      <c r="K207" s="45">
        <f t="shared" si="7"/>
        <v>-340</v>
      </c>
      <c r="M207" s="18"/>
    </row>
    <row r="208" spans="1:13" x14ac:dyDescent="0.25">
      <c r="A208" s="16"/>
      <c r="B208" s="19"/>
      <c r="C208" s="12"/>
      <c r="D208" s="42" t="s">
        <v>23</v>
      </c>
      <c r="E208" s="14"/>
      <c r="F208" s="12"/>
      <c r="G208" s="12"/>
      <c r="H208" s="43">
        <f t="shared" si="6"/>
        <v>0</v>
      </c>
      <c r="I208" s="44" t="str">
        <f>IFERROR(VLOOKUP("CM-SHA 11-"&amp;C208,'[1]Light Weight'!B:C,2,0),"")</f>
        <v/>
      </c>
      <c r="J208" s="15"/>
      <c r="K208" s="45">
        <f t="shared" si="7"/>
        <v>0</v>
      </c>
      <c r="M208" s="18"/>
    </row>
    <row r="209" spans="1:13" x14ac:dyDescent="0.25">
      <c r="A209" s="16" t="s">
        <v>46</v>
      </c>
      <c r="B209" s="19" t="s">
        <v>25</v>
      </c>
      <c r="C209" s="12">
        <v>3932</v>
      </c>
      <c r="D209" s="42" t="s">
        <v>23</v>
      </c>
      <c r="E209" s="14">
        <v>18</v>
      </c>
      <c r="F209" s="12">
        <v>10600</v>
      </c>
      <c r="G209" s="12">
        <v>28900</v>
      </c>
      <c r="H209" s="43">
        <f t="shared" si="6"/>
        <v>18300</v>
      </c>
      <c r="I209" s="44">
        <f>IFERROR(VLOOKUP("CM-SHA 11-"&amp;C209,'[1]Light Weight'!B:C,2,0),"")</f>
        <v>10360</v>
      </c>
      <c r="J209" s="15">
        <v>18390</v>
      </c>
      <c r="K209" s="45">
        <f t="shared" si="7"/>
        <v>-90</v>
      </c>
      <c r="M209" s="18"/>
    </row>
    <row r="210" spans="1:13" x14ac:dyDescent="0.25">
      <c r="A210" s="16" t="s">
        <v>46</v>
      </c>
      <c r="B210" s="19" t="s">
        <v>25</v>
      </c>
      <c r="C210" s="12">
        <v>4402</v>
      </c>
      <c r="D210" s="42" t="s">
        <v>23</v>
      </c>
      <c r="E210" s="14">
        <v>18</v>
      </c>
      <c r="F210" s="12">
        <v>10700</v>
      </c>
      <c r="G210" s="12">
        <v>29000</v>
      </c>
      <c r="H210" s="43">
        <f t="shared" si="6"/>
        <v>18300</v>
      </c>
      <c r="I210" s="44">
        <f>IFERROR(VLOOKUP("CM-SHA 11-"&amp;C210,'[1]Light Weight'!B:C,2,0),"")</f>
        <v>10420</v>
      </c>
      <c r="J210" s="15">
        <v>18560</v>
      </c>
      <c r="K210" s="45">
        <f t="shared" si="7"/>
        <v>-260</v>
      </c>
      <c r="M210" s="18"/>
    </row>
    <row r="211" spans="1:13" x14ac:dyDescent="0.25">
      <c r="A211" s="16" t="s">
        <v>46</v>
      </c>
      <c r="B211" s="19" t="s">
        <v>25</v>
      </c>
      <c r="C211" s="12">
        <v>4411</v>
      </c>
      <c r="D211" s="42" t="s">
        <v>23</v>
      </c>
      <c r="E211" s="14">
        <v>18</v>
      </c>
      <c r="F211" s="12">
        <v>10800</v>
      </c>
      <c r="G211" s="12">
        <v>29000</v>
      </c>
      <c r="H211" s="43">
        <f t="shared" si="6"/>
        <v>18200</v>
      </c>
      <c r="I211" s="44">
        <f>IFERROR(VLOOKUP("CM-SHA 11-"&amp;C211,'[1]Light Weight'!B:C,2,0),"")</f>
        <v>10340</v>
      </c>
      <c r="J211" s="15">
        <v>18520</v>
      </c>
      <c r="K211" s="45">
        <f t="shared" si="7"/>
        <v>-320</v>
      </c>
      <c r="M211" s="18"/>
    </row>
    <row r="212" spans="1:13" x14ac:dyDescent="0.25">
      <c r="A212" s="16" t="s">
        <v>46</v>
      </c>
      <c r="B212" s="19" t="s">
        <v>25</v>
      </c>
      <c r="C212" s="12">
        <v>4410</v>
      </c>
      <c r="D212" s="42" t="s">
        <v>23</v>
      </c>
      <c r="E212" s="14">
        <v>18</v>
      </c>
      <c r="F212" s="12">
        <v>10700</v>
      </c>
      <c r="G212" s="12">
        <v>28900</v>
      </c>
      <c r="H212" s="43">
        <f t="shared" si="6"/>
        <v>18200</v>
      </c>
      <c r="I212" s="44">
        <f>IFERROR(VLOOKUP("CM-SHA 11-"&amp;C212,'[1]Light Weight'!B:C,2,0),"")</f>
        <v>10500</v>
      </c>
      <c r="J212" s="15">
        <v>18290</v>
      </c>
      <c r="K212" s="45">
        <f t="shared" si="7"/>
        <v>-90</v>
      </c>
      <c r="M212" s="18"/>
    </row>
    <row r="213" spans="1:13" x14ac:dyDescent="0.25">
      <c r="A213" s="16" t="s">
        <v>46</v>
      </c>
      <c r="B213" s="19" t="s">
        <v>25</v>
      </c>
      <c r="C213" s="12">
        <v>4112</v>
      </c>
      <c r="D213" s="42" t="s">
        <v>23</v>
      </c>
      <c r="E213" s="14">
        <v>18</v>
      </c>
      <c r="F213" s="12">
        <v>10700</v>
      </c>
      <c r="G213" s="12">
        <v>28800</v>
      </c>
      <c r="H213" s="43">
        <f t="shared" si="6"/>
        <v>18100</v>
      </c>
      <c r="I213" s="44">
        <f>IFERROR(VLOOKUP("CM-SHA 11-"&amp;C213,'[1]Light Weight'!B:C,2,0),"")</f>
        <v>10460</v>
      </c>
      <c r="J213" s="15">
        <v>18340</v>
      </c>
      <c r="K213" s="45">
        <f t="shared" si="7"/>
        <v>-240</v>
      </c>
      <c r="M213" s="18"/>
    </row>
    <row r="214" spans="1:13" x14ac:dyDescent="0.25">
      <c r="A214" s="16" t="s">
        <v>46</v>
      </c>
      <c r="B214" s="19" t="s">
        <v>25</v>
      </c>
      <c r="C214" s="12">
        <v>4280</v>
      </c>
      <c r="D214" s="42" t="s">
        <v>23</v>
      </c>
      <c r="E214" s="14">
        <v>17</v>
      </c>
      <c r="F214" s="12">
        <v>11900</v>
      </c>
      <c r="G214" s="12">
        <v>29400</v>
      </c>
      <c r="H214" s="43">
        <f t="shared" si="6"/>
        <v>17500</v>
      </c>
      <c r="I214" s="44">
        <v>11730</v>
      </c>
      <c r="J214" s="15">
        <v>17580</v>
      </c>
      <c r="K214" s="45">
        <f t="shared" si="7"/>
        <v>-80</v>
      </c>
      <c r="M214" s="18"/>
    </row>
    <row r="215" spans="1:13" x14ac:dyDescent="0.25">
      <c r="A215" s="16" t="s">
        <v>46</v>
      </c>
      <c r="B215" s="19" t="s">
        <v>25</v>
      </c>
      <c r="C215" s="12">
        <v>428</v>
      </c>
      <c r="D215" s="42" t="s">
        <v>23</v>
      </c>
      <c r="E215" s="14">
        <v>17</v>
      </c>
      <c r="F215" s="12">
        <v>12000</v>
      </c>
      <c r="G215" s="12">
        <v>29300</v>
      </c>
      <c r="H215" s="43">
        <f t="shared" si="6"/>
        <v>17300</v>
      </c>
      <c r="I215" s="44">
        <v>11890</v>
      </c>
      <c r="J215" s="15">
        <v>17350</v>
      </c>
      <c r="K215" s="45">
        <f t="shared" si="7"/>
        <v>-50</v>
      </c>
      <c r="M215" s="18"/>
    </row>
    <row r="216" spans="1:13" x14ac:dyDescent="0.25">
      <c r="A216" s="16" t="s">
        <v>46</v>
      </c>
      <c r="B216" s="19" t="s">
        <v>26</v>
      </c>
      <c r="C216" s="12">
        <v>4113</v>
      </c>
      <c r="D216" s="42" t="s">
        <v>23</v>
      </c>
      <c r="E216" s="14">
        <v>23</v>
      </c>
      <c r="F216" s="12">
        <v>10800</v>
      </c>
      <c r="G216" s="12">
        <v>34200</v>
      </c>
      <c r="H216" s="43">
        <f t="shared" si="6"/>
        <v>23400</v>
      </c>
      <c r="I216" s="44">
        <f>IFERROR(VLOOKUP("CM-SHA 11-"&amp;C216,'[1]Light Weight'!B:C,2,0),"")</f>
        <v>10430</v>
      </c>
      <c r="J216" s="15">
        <v>23670</v>
      </c>
      <c r="K216" s="45">
        <f t="shared" si="7"/>
        <v>-270</v>
      </c>
      <c r="M216" s="18"/>
    </row>
    <row r="217" spans="1:13" x14ac:dyDescent="0.25">
      <c r="A217" s="16" t="s">
        <v>46</v>
      </c>
      <c r="B217" s="19" t="s">
        <v>26</v>
      </c>
      <c r="C217" s="12">
        <v>4408</v>
      </c>
      <c r="D217" s="42" t="s">
        <v>23</v>
      </c>
      <c r="E217" s="14">
        <v>23</v>
      </c>
      <c r="F217" s="12">
        <v>10700</v>
      </c>
      <c r="G217" s="12">
        <v>34100</v>
      </c>
      <c r="H217" s="43">
        <f t="shared" si="6"/>
        <v>23400</v>
      </c>
      <c r="I217" s="44">
        <f>IFERROR(VLOOKUP("CM-SHA 11-"&amp;C217,'[1]Light Weight'!B:C,2,0),"")</f>
        <v>10420</v>
      </c>
      <c r="J217" s="15">
        <v>23680</v>
      </c>
      <c r="K217" s="45">
        <f t="shared" si="7"/>
        <v>-280</v>
      </c>
      <c r="M217" s="18"/>
    </row>
    <row r="218" spans="1:13" x14ac:dyDescent="0.25">
      <c r="A218" s="16" t="s">
        <v>46</v>
      </c>
      <c r="B218" s="19" t="s">
        <v>26</v>
      </c>
      <c r="C218" s="12">
        <v>4407</v>
      </c>
      <c r="D218" s="42" t="s">
        <v>23</v>
      </c>
      <c r="E218" s="14">
        <v>18</v>
      </c>
      <c r="F218" s="12">
        <v>10700</v>
      </c>
      <c r="G218" s="12">
        <v>29100</v>
      </c>
      <c r="H218" s="43">
        <f t="shared" si="6"/>
        <v>18400</v>
      </c>
      <c r="I218" s="44">
        <f>IFERROR(VLOOKUP("CM-SHA 11-"&amp;C218,'[1]Light Weight'!B:C,2,0),"")</f>
        <v>10420</v>
      </c>
      <c r="J218" s="15">
        <v>18570</v>
      </c>
      <c r="K218" s="45">
        <f t="shared" si="7"/>
        <v>-170</v>
      </c>
      <c r="M218" s="18"/>
    </row>
    <row r="219" spans="1:13" x14ac:dyDescent="0.25">
      <c r="A219" s="16" t="s">
        <v>46</v>
      </c>
      <c r="B219" s="19" t="s">
        <v>26</v>
      </c>
      <c r="C219" s="12">
        <v>3933</v>
      </c>
      <c r="D219" s="42" t="s">
        <v>23</v>
      </c>
      <c r="E219" s="14">
        <v>23</v>
      </c>
      <c r="F219" s="12">
        <v>10800</v>
      </c>
      <c r="G219" s="12">
        <v>34300</v>
      </c>
      <c r="H219" s="43">
        <f t="shared" si="6"/>
        <v>23500</v>
      </c>
      <c r="I219" s="44">
        <f>IFERROR(VLOOKUP("CM-SHA 11-"&amp;C219,'[1]Light Weight'!B:C,2,0),"")</f>
        <v>10410</v>
      </c>
      <c r="J219" s="15">
        <v>23790</v>
      </c>
      <c r="K219" s="45">
        <f t="shared" si="7"/>
        <v>-290</v>
      </c>
      <c r="M219" s="18"/>
    </row>
    <row r="220" spans="1:13" x14ac:dyDescent="0.25">
      <c r="A220" s="16"/>
      <c r="B220" s="19"/>
      <c r="C220" s="12"/>
      <c r="D220" s="42"/>
      <c r="E220" s="14"/>
      <c r="F220" s="12"/>
      <c r="G220" s="12"/>
      <c r="H220" s="43"/>
      <c r="I220" s="44"/>
      <c r="J220" s="15"/>
      <c r="K220" s="45"/>
      <c r="M220" s="18"/>
    </row>
    <row r="221" spans="1:13" x14ac:dyDescent="0.25">
      <c r="A221" s="16"/>
      <c r="B221" s="19"/>
      <c r="C221" s="12"/>
      <c r="D221" s="42"/>
      <c r="E221" s="14"/>
      <c r="F221" s="12"/>
      <c r="G221" s="12"/>
      <c r="H221" s="43"/>
      <c r="I221" s="44"/>
      <c r="J221" s="15"/>
      <c r="K221" s="45"/>
      <c r="M221" s="18"/>
    </row>
    <row r="222" spans="1:13" x14ac:dyDescent="0.25">
      <c r="A222" s="16"/>
      <c r="B222" s="19"/>
      <c r="C222" s="12"/>
      <c r="D222" s="42"/>
      <c r="E222" s="14"/>
      <c r="F222" s="12"/>
      <c r="G222" s="12"/>
      <c r="H222" s="43"/>
      <c r="I222" s="44"/>
      <c r="J222" s="15"/>
      <c r="K222" s="45"/>
      <c r="M222" s="18"/>
    </row>
    <row r="223" spans="1:13" x14ac:dyDescent="0.25">
      <c r="A223" s="16"/>
      <c r="B223" s="19"/>
      <c r="C223" s="12"/>
      <c r="D223" s="42"/>
      <c r="E223" s="14"/>
      <c r="F223" s="12"/>
      <c r="G223" s="12"/>
      <c r="H223" s="43"/>
      <c r="I223" s="44"/>
      <c r="J223" s="15"/>
      <c r="K223" s="45"/>
      <c r="M223" s="18"/>
    </row>
    <row r="224" spans="1:13" x14ac:dyDescent="0.25">
      <c r="A224" s="16"/>
      <c r="B224" s="19"/>
      <c r="C224" s="12"/>
      <c r="D224" s="42"/>
      <c r="E224" s="14"/>
      <c r="F224" s="12"/>
      <c r="G224" s="12"/>
      <c r="H224" s="43"/>
      <c r="I224" s="44"/>
      <c r="J224" s="15"/>
      <c r="K224" s="45"/>
      <c r="M224" s="18"/>
    </row>
    <row r="225" spans="1:13" x14ac:dyDescent="0.25">
      <c r="A225" s="16"/>
      <c r="B225" s="19"/>
      <c r="C225" s="12"/>
      <c r="D225" s="42"/>
      <c r="E225" s="14"/>
      <c r="F225" s="12"/>
      <c r="G225" s="12"/>
      <c r="H225" s="43"/>
      <c r="I225" s="44"/>
      <c r="J225" s="15"/>
      <c r="K225" s="45"/>
      <c r="M225" s="18"/>
    </row>
    <row r="226" spans="1:13" x14ac:dyDescent="0.25">
      <c r="A226" s="16"/>
      <c r="B226" s="19"/>
      <c r="C226" s="12"/>
      <c r="D226" s="42"/>
      <c r="E226" s="14"/>
      <c r="F226" s="12"/>
      <c r="G226" s="12"/>
      <c r="H226" s="43"/>
      <c r="I226" s="44"/>
      <c r="J226" s="15"/>
      <c r="K226" s="45"/>
      <c r="M226" s="18"/>
    </row>
    <row r="227" spans="1:13" x14ac:dyDescent="0.25">
      <c r="A227" s="16"/>
      <c r="B227" s="19"/>
      <c r="C227" s="12"/>
      <c r="D227" s="42"/>
      <c r="E227" s="14"/>
      <c r="F227" s="12"/>
      <c r="G227" s="12"/>
      <c r="H227" s="43"/>
      <c r="I227" s="44"/>
      <c r="J227" s="15"/>
      <c r="K227" s="45"/>
      <c r="M227" s="18"/>
    </row>
    <row r="228" spans="1:13" x14ac:dyDescent="0.25">
      <c r="A228" s="16"/>
      <c r="B228" s="19"/>
      <c r="C228" s="12"/>
      <c r="D228" s="42"/>
      <c r="E228" s="14"/>
      <c r="F228" s="12"/>
      <c r="G228" s="12"/>
      <c r="H228" s="43"/>
      <c r="I228" s="44"/>
      <c r="J228" s="15"/>
      <c r="K228" s="45"/>
      <c r="M228" s="18"/>
    </row>
    <row r="229" spans="1:13" x14ac:dyDescent="0.25">
      <c r="A229" s="16"/>
      <c r="B229" s="19"/>
      <c r="C229" s="12"/>
      <c r="D229" s="42" t="s">
        <v>23</v>
      </c>
      <c r="E229" s="14"/>
      <c r="F229" s="12"/>
      <c r="G229" s="12"/>
      <c r="H229" s="43">
        <f t="shared" si="6"/>
        <v>0</v>
      </c>
      <c r="I229" s="44" t="str">
        <f>IFERROR(VLOOKUP("CM-SHA 11-"&amp;C229,'[1]Light Weight'!B:C,2,0),"")</f>
        <v/>
      </c>
      <c r="J229" s="15"/>
      <c r="K229" s="45">
        <f t="shared" si="7"/>
        <v>0</v>
      </c>
      <c r="M229" s="18"/>
    </row>
    <row r="230" spans="1:13" x14ac:dyDescent="0.25">
      <c r="A230" s="35" t="s">
        <v>24</v>
      </c>
      <c r="B230" s="36" t="s">
        <v>25</v>
      </c>
      <c r="C230" s="37">
        <v>3932</v>
      </c>
      <c r="D230" s="42" t="s">
        <v>49</v>
      </c>
      <c r="E230" s="38">
        <v>17</v>
      </c>
      <c r="F230" s="39">
        <v>10700</v>
      </c>
      <c r="G230" s="40">
        <v>30100</v>
      </c>
      <c r="H230" s="43">
        <f t="shared" ref="H230" si="8">SUM(G230-F230)</f>
        <v>19400</v>
      </c>
      <c r="I230" s="44">
        <f>IFERROR(VLOOKUP("CM-SHA 11-"&amp;C230,'[2]Light Weight'!B:C,2,0),"")</f>
        <v>10360</v>
      </c>
      <c r="J230" s="40">
        <v>19470</v>
      </c>
      <c r="K230" s="45">
        <f t="shared" ref="K230:K270" si="9">H230-J230</f>
        <v>-70</v>
      </c>
      <c r="M230" s="18"/>
    </row>
    <row r="231" spans="1:13" x14ac:dyDescent="0.25">
      <c r="A231" s="35"/>
      <c r="B231" s="36"/>
      <c r="C231" s="37"/>
      <c r="D231" s="42" t="s">
        <v>49</v>
      </c>
      <c r="E231" s="38"/>
      <c r="F231" s="39"/>
      <c r="G231" s="40"/>
      <c r="H231" s="43">
        <f t="shared" ref="H231:H270" si="10">SUM(G231-F231)</f>
        <v>0</v>
      </c>
      <c r="I231" s="44" t="str">
        <f>IFERROR(VLOOKUP("CM-SHA 11-"&amp;C231,'[2]Light Weight'!B:C,2,0),"")</f>
        <v/>
      </c>
      <c r="J231" s="40"/>
      <c r="K231" s="45">
        <f t="shared" si="9"/>
        <v>0</v>
      </c>
      <c r="M231" s="18"/>
    </row>
    <row r="232" spans="1:13" x14ac:dyDescent="0.25">
      <c r="A232" s="35" t="s">
        <v>28</v>
      </c>
      <c r="B232" s="36" t="s">
        <v>25</v>
      </c>
      <c r="C232" s="37">
        <v>3930</v>
      </c>
      <c r="D232" s="42" t="s">
        <v>49</v>
      </c>
      <c r="E232" s="38">
        <v>19</v>
      </c>
      <c r="F232" s="39">
        <v>10900</v>
      </c>
      <c r="G232" s="40">
        <v>30000</v>
      </c>
      <c r="H232" s="43">
        <f t="shared" si="10"/>
        <v>19100</v>
      </c>
      <c r="I232" s="44">
        <f>IFERROR(VLOOKUP("CM-SHA 11-"&amp;C232,'[2]Light Weight'!B:C,2,0),"")</f>
        <v>10450</v>
      </c>
      <c r="J232" s="40">
        <v>19470</v>
      </c>
      <c r="K232" s="45">
        <f t="shared" si="9"/>
        <v>-370</v>
      </c>
      <c r="M232" s="18"/>
    </row>
    <row r="233" spans="1:13" x14ac:dyDescent="0.25">
      <c r="A233" s="35" t="s">
        <v>28</v>
      </c>
      <c r="B233" s="36" t="s">
        <v>25</v>
      </c>
      <c r="C233" s="37">
        <v>4415</v>
      </c>
      <c r="D233" s="42" t="s">
        <v>49</v>
      </c>
      <c r="E233" s="38">
        <v>23</v>
      </c>
      <c r="F233" s="39">
        <v>10700</v>
      </c>
      <c r="G233" s="40">
        <v>34200</v>
      </c>
      <c r="H233" s="43">
        <f t="shared" si="10"/>
        <v>23500</v>
      </c>
      <c r="I233" s="44">
        <f>IFERROR(VLOOKUP("CM-SHA 11-"&amp;C233,'[2]Light Weight'!B:C,2,0),"")</f>
        <v>10430</v>
      </c>
      <c r="J233" s="40">
        <v>23730</v>
      </c>
      <c r="K233" s="45">
        <f t="shared" si="9"/>
        <v>-230</v>
      </c>
      <c r="M233" s="18"/>
    </row>
    <row r="234" spans="1:13" x14ac:dyDescent="0.25">
      <c r="A234" s="35" t="s">
        <v>28</v>
      </c>
      <c r="B234" s="36" t="s">
        <v>26</v>
      </c>
      <c r="C234" s="37">
        <v>4416</v>
      </c>
      <c r="D234" s="42" t="s">
        <v>49</v>
      </c>
      <c r="E234" s="38">
        <v>23</v>
      </c>
      <c r="F234" s="39">
        <v>10800</v>
      </c>
      <c r="G234" s="40">
        <v>34200</v>
      </c>
      <c r="H234" s="43">
        <f t="shared" si="10"/>
        <v>23400</v>
      </c>
      <c r="I234" s="44">
        <v>10390</v>
      </c>
      <c r="J234" s="40">
        <v>23530</v>
      </c>
      <c r="K234" s="45">
        <f t="shared" si="9"/>
        <v>-130</v>
      </c>
      <c r="M234" s="18"/>
    </row>
    <row r="235" spans="1:13" x14ac:dyDescent="0.25">
      <c r="A235" s="35" t="s">
        <v>28</v>
      </c>
      <c r="B235" s="36" t="s">
        <v>26</v>
      </c>
      <c r="C235" s="37">
        <v>4407</v>
      </c>
      <c r="D235" s="42" t="s">
        <v>49</v>
      </c>
      <c r="E235" s="38">
        <v>23</v>
      </c>
      <c r="F235" s="39">
        <v>10700</v>
      </c>
      <c r="G235" s="40">
        <v>34100</v>
      </c>
      <c r="H235" s="43">
        <f t="shared" si="10"/>
        <v>23400</v>
      </c>
      <c r="I235" s="44">
        <f>IFERROR(VLOOKUP("CM-SHA 11-"&amp;C235,'[2]Light Weight'!B:C,2,0),"")</f>
        <v>10420</v>
      </c>
      <c r="J235" s="40">
        <v>23380</v>
      </c>
      <c r="K235" s="45">
        <f t="shared" si="9"/>
        <v>20</v>
      </c>
      <c r="M235" s="18"/>
    </row>
    <row r="236" spans="1:13" x14ac:dyDescent="0.25">
      <c r="A236" s="35" t="s">
        <v>28</v>
      </c>
      <c r="B236" s="36" t="s">
        <v>26</v>
      </c>
      <c r="C236" s="37">
        <v>4115</v>
      </c>
      <c r="D236" s="42" t="s">
        <v>49</v>
      </c>
      <c r="E236" s="38">
        <v>23</v>
      </c>
      <c r="F236" s="39">
        <v>10900</v>
      </c>
      <c r="G236" s="40">
        <v>34000</v>
      </c>
      <c r="H236" s="43">
        <f t="shared" si="10"/>
        <v>23100</v>
      </c>
      <c r="I236" s="44">
        <f>IFERROR(VLOOKUP("CM-SHA 11-"&amp;C236,'[2]Light Weight'!B:C,2,0),"")</f>
        <v>10460</v>
      </c>
      <c r="J236" s="40">
        <v>23410</v>
      </c>
      <c r="K236" s="45">
        <f t="shared" si="9"/>
        <v>-310</v>
      </c>
      <c r="M236" s="18"/>
    </row>
    <row r="237" spans="1:13" x14ac:dyDescent="0.25">
      <c r="A237" s="35" t="s">
        <v>28</v>
      </c>
      <c r="B237" s="36" t="s">
        <v>26</v>
      </c>
      <c r="C237" s="37">
        <v>4113</v>
      </c>
      <c r="D237" s="42" t="s">
        <v>49</v>
      </c>
      <c r="E237" s="38">
        <v>23</v>
      </c>
      <c r="F237" s="39">
        <v>10800</v>
      </c>
      <c r="G237" s="40">
        <v>34000</v>
      </c>
      <c r="H237" s="43">
        <f t="shared" si="10"/>
        <v>23200</v>
      </c>
      <c r="I237" s="44">
        <f>IFERROR(VLOOKUP("CM-SHA 11-"&amp;C237,'[2]Light Weight'!B:C,2,0),"")</f>
        <v>10430</v>
      </c>
      <c r="J237" s="40">
        <v>23530</v>
      </c>
      <c r="K237" s="45">
        <f t="shared" si="9"/>
        <v>-330</v>
      </c>
      <c r="M237" s="18"/>
    </row>
    <row r="238" spans="1:13" x14ac:dyDescent="0.25">
      <c r="A238" s="35" t="s">
        <v>28</v>
      </c>
      <c r="B238" s="36" t="s">
        <v>26</v>
      </c>
      <c r="C238" s="37">
        <v>4406</v>
      </c>
      <c r="D238" s="42" t="s">
        <v>49</v>
      </c>
      <c r="E238" s="38">
        <v>23</v>
      </c>
      <c r="F238" s="39">
        <v>10900</v>
      </c>
      <c r="G238" s="40">
        <v>34100</v>
      </c>
      <c r="H238" s="43">
        <f t="shared" si="10"/>
        <v>23200</v>
      </c>
      <c r="I238" s="44">
        <f>IFERROR(VLOOKUP("CM-SHA 11-"&amp;C238,'[2]Light Weight'!B:C,2,0),"")</f>
        <v>10440</v>
      </c>
      <c r="J238" s="40">
        <v>23440</v>
      </c>
      <c r="K238" s="45">
        <f t="shared" si="9"/>
        <v>-240</v>
      </c>
      <c r="M238" s="18"/>
    </row>
    <row r="239" spans="1:13" x14ac:dyDescent="0.25">
      <c r="A239" s="35" t="s">
        <v>28</v>
      </c>
      <c r="B239" s="36" t="s">
        <v>27</v>
      </c>
      <c r="C239" s="37">
        <v>4404</v>
      </c>
      <c r="D239" s="42" t="s">
        <v>49</v>
      </c>
      <c r="E239" s="38">
        <v>19</v>
      </c>
      <c r="F239" s="39">
        <v>11000</v>
      </c>
      <c r="G239" s="40">
        <v>30000</v>
      </c>
      <c r="H239" s="43">
        <f t="shared" si="10"/>
        <v>19000</v>
      </c>
      <c r="I239" s="44">
        <f>IFERROR(VLOOKUP("CM-SHA 11-"&amp;C239,'[2]Light Weight'!B:C,2,0),"")</f>
        <v>10550</v>
      </c>
      <c r="J239" s="40">
        <v>19230</v>
      </c>
      <c r="K239" s="45">
        <f t="shared" si="9"/>
        <v>-230</v>
      </c>
      <c r="M239" s="18"/>
    </row>
    <row r="240" spans="1:13" x14ac:dyDescent="0.25">
      <c r="A240" s="35" t="s">
        <v>28</v>
      </c>
      <c r="B240" s="36" t="s">
        <v>27</v>
      </c>
      <c r="C240" s="37">
        <v>4408</v>
      </c>
      <c r="D240" s="42" t="s">
        <v>49</v>
      </c>
      <c r="E240" s="38">
        <v>19</v>
      </c>
      <c r="F240" s="39">
        <v>10800</v>
      </c>
      <c r="G240" s="40">
        <v>30000</v>
      </c>
      <c r="H240" s="43">
        <f t="shared" si="10"/>
        <v>19200</v>
      </c>
      <c r="I240" s="44">
        <f>IFERROR(VLOOKUP("CM-SHA 11-"&amp;C240,'[2]Light Weight'!B:C,2,0),"")</f>
        <v>10420</v>
      </c>
      <c r="J240" s="40">
        <v>19360</v>
      </c>
      <c r="K240" s="45">
        <f t="shared" si="9"/>
        <v>-160</v>
      </c>
      <c r="M240" s="18"/>
    </row>
    <row r="241" spans="1:13" x14ac:dyDescent="0.25">
      <c r="A241" s="35"/>
      <c r="B241" s="36"/>
      <c r="C241" s="37"/>
      <c r="D241" s="42" t="s">
        <v>49</v>
      </c>
      <c r="E241" s="38"/>
      <c r="F241" s="39"/>
      <c r="G241" s="40"/>
      <c r="H241" s="43">
        <f t="shared" si="10"/>
        <v>0</v>
      </c>
      <c r="I241" s="44" t="str">
        <f>IFERROR(VLOOKUP("CM-SHA 11-"&amp;C241,'[2]Light Weight'!B:C,2,0),"")</f>
        <v/>
      </c>
      <c r="J241" s="40"/>
      <c r="K241" s="45">
        <f t="shared" si="9"/>
        <v>0</v>
      </c>
      <c r="M241" s="18"/>
    </row>
    <row r="242" spans="1:13" x14ac:dyDescent="0.25">
      <c r="A242" s="35" t="s">
        <v>29</v>
      </c>
      <c r="B242" s="36" t="s">
        <v>27</v>
      </c>
      <c r="C242" s="37">
        <v>4416</v>
      </c>
      <c r="D242" s="42" t="s">
        <v>49</v>
      </c>
      <c r="E242" s="38">
        <v>18</v>
      </c>
      <c r="F242" s="39">
        <v>10700</v>
      </c>
      <c r="G242" s="40">
        <v>28900</v>
      </c>
      <c r="H242" s="43">
        <f t="shared" si="10"/>
        <v>18200</v>
      </c>
      <c r="I242" s="44">
        <v>10390</v>
      </c>
      <c r="J242" s="40">
        <v>18330</v>
      </c>
      <c r="K242" s="45">
        <f t="shared" si="9"/>
        <v>-130</v>
      </c>
      <c r="M242" s="18"/>
    </row>
    <row r="243" spans="1:13" x14ac:dyDescent="0.25">
      <c r="A243" s="35" t="s">
        <v>29</v>
      </c>
      <c r="B243" s="36" t="s">
        <v>27</v>
      </c>
      <c r="C243" s="37">
        <v>3931</v>
      </c>
      <c r="D243" s="42" t="s">
        <v>49</v>
      </c>
      <c r="E243" s="38">
        <v>18</v>
      </c>
      <c r="F243" s="39">
        <v>10800</v>
      </c>
      <c r="G243" s="40">
        <v>29300</v>
      </c>
      <c r="H243" s="43">
        <f t="shared" si="10"/>
        <v>18500</v>
      </c>
      <c r="I243" s="44">
        <f>IFERROR(VLOOKUP("CM-SHA 11-"&amp;C243,'[2]Light Weight'!B:C,2,0),"")</f>
        <v>10520</v>
      </c>
      <c r="J243" s="40">
        <v>18630</v>
      </c>
      <c r="K243" s="45">
        <f t="shared" si="9"/>
        <v>-130</v>
      </c>
      <c r="M243" s="18"/>
    </row>
    <row r="244" spans="1:13" x14ac:dyDescent="0.25">
      <c r="A244" s="35" t="s">
        <v>29</v>
      </c>
      <c r="B244" s="36" t="s">
        <v>27</v>
      </c>
      <c r="C244" s="37">
        <v>4406</v>
      </c>
      <c r="D244" s="42" t="s">
        <v>49</v>
      </c>
      <c r="E244" s="38">
        <v>18</v>
      </c>
      <c r="F244" s="39">
        <v>10900</v>
      </c>
      <c r="G244" s="40">
        <v>29100</v>
      </c>
      <c r="H244" s="43">
        <f t="shared" si="10"/>
        <v>18200</v>
      </c>
      <c r="I244" s="44">
        <f>IFERROR(VLOOKUP("CM-SHA 11-"&amp;C244,'[2]Light Weight'!B:C,2,0),"")</f>
        <v>10440</v>
      </c>
      <c r="J244" s="40">
        <v>18460</v>
      </c>
      <c r="K244" s="45">
        <f t="shared" si="9"/>
        <v>-260</v>
      </c>
      <c r="M244" s="18"/>
    </row>
    <row r="245" spans="1:13" x14ac:dyDescent="0.25">
      <c r="A245" s="35" t="s">
        <v>29</v>
      </c>
      <c r="B245" s="36" t="s">
        <v>27</v>
      </c>
      <c r="C245" s="37">
        <v>4407</v>
      </c>
      <c r="D245" s="42" t="s">
        <v>49</v>
      </c>
      <c r="E245" s="38">
        <v>18</v>
      </c>
      <c r="F245" s="39">
        <v>10900</v>
      </c>
      <c r="G245" s="40">
        <v>29100</v>
      </c>
      <c r="H245" s="43">
        <f t="shared" si="10"/>
        <v>18200</v>
      </c>
      <c r="I245" s="44">
        <f>IFERROR(VLOOKUP("CM-SHA 11-"&amp;C245,'[2]Light Weight'!B:C,2,0),"")</f>
        <v>10420</v>
      </c>
      <c r="J245" s="40">
        <v>18380</v>
      </c>
      <c r="K245" s="45">
        <f t="shared" si="9"/>
        <v>-180</v>
      </c>
      <c r="M245" s="18"/>
    </row>
    <row r="246" spans="1:13" x14ac:dyDescent="0.25">
      <c r="A246" s="35" t="s">
        <v>29</v>
      </c>
      <c r="B246" s="36" t="s">
        <v>27</v>
      </c>
      <c r="C246" s="37">
        <v>4114</v>
      </c>
      <c r="D246" s="42" t="s">
        <v>49</v>
      </c>
      <c r="E246" s="38">
        <v>18</v>
      </c>
      <c r="F246" s="39">
        <v>10900</v>
      </c>
      <c r="G246" s="40">
        <v>29200</v>
      </c>
      <c r="H246" s="43">
        <f t="shared" si="10"/>
        <v>18300</v>
      </c>
      <c r="I246" s="44">
        <f>IFERROR(VLOOKUP("CM-SHA 11-"&amp;C246,'[2]Light Weight'!B:C,2,0),"")</f>
        <v>10550</v>
      </c>
      <c r="J246" s="40">
        <v>18440</v>
      </c>
      <c r="K246" s="45">
        <f t="shared" si="9"/>
        <v>-140</v>
      </c>
      <c r="M246" s="18"/>
    </row>
    <row r="247" spans="1:13" x14ac:dyDescent="0.25">
      <c r="A247" s="35"/>
      <c r="B247" s="36"/>
      <c r="C247" s="37"/>
      <c r="D247" s="42" t="s">
        <v>49</v>
      </c>
      <c r="E247" s="38"/>
      <c r="F247" s="39"/>
      <c r="G247" s="40"/>
      <c r="H247" s="43">
        <f t="shared" si="10"/>
        <v>0</v>
      </c>
      <c r="I247" s="44" t="str">
        <f>IFERROR(VLOOKUP("CM-SHA 11-"&amp;C247,'[2]Light Weight'!B:C,2,0),"")</f>
        <v/>
      </c>
      <c r="J247" s="40"/>
      <c r="K247" s="45">
        <f t="shared" si="9"/>
        <v>0</v>
      </c>
      <c r="M247" s="18"/>
    </row>
    <row r="248" spans="1:13" x14ac:dyDescent="0.25">
      <c r="A248" s="35" t="s">
        <v>30</v>
      </c>
      <c r="B248" s="36" t="s">
        <v>27</v>
      </c>
      <c r="C248" s="37">
        <v>4112</v>
      </c>
      <c r="D248" s="42" t="s">
        <v>49</v>
      </c>
      <c r="E248" s="38">
        <v>19</v>
      </c>
      <c r="F248" s="39">
        <v>11000</v>
      </c>
      <c r="G248" s="40">
        <v>30000</v>
      </c>
      <c r="H248" s="43">
        <f t="shared" si="10"/>
        <v>19000</v>
      </c>
      <c r="I248" s="44">
        <f>IFERROR(VLOOKUP("CM-SHA 11-"&amp;C248,'[2]Light Weight'!B:C,2,0),"")</f>
        <v>10460</v>
      </c>
      <c r="J248" s="40">
        <v>19340</v>
      </c>
      <c r="K248" s="45">
        <f t="shared" si="9"/>
        <v>-340</v>
      </c>
      <c r="M248" s="18"/>
    </row>
    <row r="249" spans="1:13" x14ac:dyDescent="0.25">
      <c r="A249" s="35"/>
      <c r="B249" s="36"/>
      <c r="C249" s="37"/>
      <c r="D249" s="42" t="s">
        <v>49</v>
      </c>
      <c r="E249" s="38"/>
      <c r="F249" s="39"/>
      <c r="G249" s="40"/>
      <c r="H249" s="43">
        <f t="shared" si="10"/>
        <v>0</v>
      </c>
      <c r="I249" s="44" t="str">
        <f>IFERROR(VLOOKUP("CM-SHA 11-"&amp;C249,'[2]Light Weight'!B:C,2,0),"")</f>
        <v/>
      </c>
      <c r="J249" s="40"/>
      <c r="K249" s="45">
        <f t="shared" si="9"/>
        <v>0</v>
      </c>
      <c r="M249" s="18"/>
    </row>
    <row r="250" spans="1:13" x14ac:dyDescent="0.25">
      <c r="A250" s="35" t="s">
        <v>31</v>
      </c>
      <c r="B250" s="36" t="s">
        <v>27</v>
      </c>
      <c r="C250" s="37">
        <v>4406</v>
      </c>
      <c r="D250" s="42" t="s">
        <v>49</v>
      </c>
      <c r="E250" s="38">
        <v>18</v>
      </c>
      <c r="F250" s="39">
        <v>10900</v>
      </c>
      <c r="G250" s="40">
        <v>28900</v>
      </c>
      <c r="H250" s="43">
        <f t="shared" si="10"/>
        <v>18000</v>
      </c>
      <c r="I250" s="44">
        <f>IFERROR(VLOOKUP("CM-SHA 11-"&amp;C250,'[2]Light Weight'!B:C,2,0),"")</f>
        <v>10440</v>
      </c>
      <c r="J250" s="40">
        <v>18270</v>
      </c>
      <c r="K250" s="45">
        <f t="shared" si="9"/>
        <v>-270</v>
      </c>
      <c r="M250" s="18"/>
    </row>
    <row r="251" spans="1:13" x14ac:dyDescent="0.25">
      <c r="A251" s="35" t="s">
        <v>31</v>
      </c>
      <c r="B251" s="36" t="s">
        <v>27</v>
      </c>
      <c r="C251" s="37">
        <v>3929</v>
      </c>
      <c r="D251" s="42" t="s">
        <v>49</v>
      </c>
      <c r="E251" s="38">
        <v>18</v>
      </c>
      <c r="F251" s="39">
        <v>11000</v>
      </c>
      <c r="G251" s="40">
        <v>29000</v>
      </c>
      <c r="H251" s="43">
        <f t="shared" si="10"/>
        <v>18000</v>
      </c>
      <c r="I251" s="44">
        <f>IFERROR(VLOOKUP("CM-SHA 11-"&amp;C251,'[2]Light Weight'!B:C,2,0),"")</f>
        <v>10400</v>
      </c>
      <c r="J251" s="40">
        <v>18250</v>
      </c>
      <c r="K251" s="45">
        <f t="shared" si="9"/>
        <v>-250</v>
      </c>
      <c r="M251" s="18"/>
    </row>
    <row r="252" spans="1:13" x14ac:dyDescent="0.25">
      <c r="A252" s="35" t="s">
        <v>31</v>
      </c>
      <c r="B252" s="36" t="s">
        <v>27</v>
      </c>
      <c r="C252" s="37">
        <v>4407</v>
      </c>
      <c r="D252" s="42" t="s">
        <v>49</v>
      </c>
      <c r="E252" s="38">
        <v>18</v>
      </c>
      <c r="F252" s="39">
        <v>10800</v>
      </c>
      <c r="G252" s="40">
        <v>29100</v>
      </c>
      <c r="H252" s="43">
        <f t="shared" si="10"/>
        <v>18300</v>
      </c>
      <c r="I252" s="44">
        <f>IFERROR(VLOOKUP("CM-SHA 11-"&amp;C252,'[2]Light Weight'!B:C,2,0),"")</f>
        <v>10420</v>
      </c>
      <c r="J252" s="40">
        <v>18390</v>
      </c>
      <c r="K252" s="45">
        <f t="shared" si="9"/>
        <v>-90</v>
      </c>
      <c r="M252" s="18"/>
    </row>
    <row r="253" spans="1:13" x14ac:dyDescent="0.25">
      <c r="A253" s="35" t="s">
        <v>31</v>
      </c>
      <c r="B253" s="36" t="s">
        <v>27</v>
      </c>
      <c r="C253" s="37">
        <v>3931</v>
      </c>
      <c r="D253" s="42" t="s">
        <v>49</v>
      </c>
      <c r="E253" s="38">
        <v>18</v>
      </c>
      <c r="F253" s="39">
        <v>10800</v>
      </c>
      <c r="G253" s="40">
        <v>28900</v>
      </c>
      <c r="H253" s="43">
        <f t="shared" si="10"/>
        <v>18100</v>
      </c>
      <c r="I253" s="44">
        <f>IFERROR(VLOOKUP("CM-SHA 11-"&amp;C253,'[2]Light Weight'!B:C,2,0),"")</f>
        <v>10520</v>
      </c>
      <c r="J253" s="40">
        <v>18330</v>
      </c>
      <c r="K253" s="45">
        <f t="shared" si="9"/>
        <v>-230</v>
      </c>
      <c r="M253" s="18"/>
    </row>
    <row r="254" spans="1:13" x14ac:dyDescent="0.25">
      <c r="A254" s="35" t="s">
        <v>31</v>
      </c>
      <c r="B254" s="36" t="s">
        <v>27</v>
      </c>
      <c r="C254" s="37">
        <v>2322</v>
      </c>
      <c r="D254" s="42" t="s">
        <v>49</v>
      </c>
      <c r="E254" s="38">
        <v>24</v>
      </c>
      <c r="F254" s="39">
        <v>12200</v>
      </c>
      <c r="G254" s="40">
        <v>37000</v>
      </c>
      <c r="H254" s="43">
        <f t="shared" si="10"/>
        <v>24800</v>
      </c>
      <c r="I254" s="44">
        <v>12200</v>
      </c>
      <c r="J254" s="40">
        <v>24710</v>
      </c>
      <c r="K254" s="45">
        <f t="shared" si="9"/>
        <v>90</v>
      </c>
      <c r="M254" s="18"/>
    </row>
    <row r="255" spans="1:13" x14ac:dyDescent="0.25">
      <c r="A255" s="35" t="s">
        <v>31</v>
      </c>
      <c r="B255" s="36" t="s">
        <v>27</v>
      </c>
      <c r="C255" s="37">
        <v>4115</v>
      </c>
      <c r="D255" s="42" t="s">
        <v>49</v>
      </c>
      <c r="E255" s="38">
        <v>18</v>
      </c>
      <c r="F255" s="39">
        <v>10900</v>
      </c>
      <c r="G255" s="40">
        <v>28900</v>
      </c>
      <c r="H255" s="43">
        <f t="shared" si="10"/>
        <v>18000</v>
      </c>
      <c r="I255" s="44">
        <f>IFERROR(VLOOKUP("CM-SHA 11-"&amp;C255,'[2]Light Weight'!B:C,2,0),"")</f>
        <v>10460</v>
      </c>
      <c r="J255" s="40">
        <v>18190</v>
      </c>
      <c r="K255" s="45">
        <f t="shared" si="9"/>
        <v>-190</v>
      </c>
      <c r="M255" s="18"/>
    </row>
    <row r="256" spans="1:13" x14ac:dyDescent="0.25">
      <c r="A256" s="35"/>
      <c r="B256" s="36"/>
      <c r="C256" s="37"/>
      <c r="D256" s="42" t="s">
        <v>49</v>
      </c>
      <c r="E256" s="38"/>
      <c r="F256" s="39"/>
      <c r="G256" s="40"/>
      <c r="H256" s="43">
        <f t="shared" si="10"/>
        <v>0</v>
      </c>
      <c r="I256" s="44" t="str">
        <f>IFERROR(VLOOKUP("CM-SHA 11-"&amp;C256,'[2]Light Weight'!B:C,2,0),"")</f>
        <v/>
      </c>
      <c r="J256" s="40"/>
      <c r="K256" s="45">
        <f t="shared" si="9"/>
        <v>0</v>
      </c>
      <c r="M256" s="18"/>
    </row>
    <row r="257" spans="1:13" x14ac:dyDescent="0.25">
      <c r="A257" s="35" t="s">
        <v>33</v>
      </c>
      <c r="B257" s="36" t="s">
        <v>26</v>
      </c>
      <c r="C257" s="37">
        <v>4405</v>
      </c>
      <c r="D257" s="42" t="s">
        <v>49</v>
      </c>
      <c r="E257" s="38">
        <v>20</v>
      </c>
      <c r="F257" s="39">
        <v>10800</v>
      </c>
      <c r="G257" s="40">
        <v>31100</v>
      </c>
      <c r="H257" s="43">
        <f t="shared" si="10"/>
        <v>20300</v>
      </c>
      <c r="I257" s="44">
        <f>IFERROR(VLOOKUP("CM-SHA 11-"&amp;C257,'[2]Light Weight'!B:C,2,0),"")</f>
        <v>10380</v>
      </c>
      <c r="J257" s="40">
        <v>20450</v>
      </c>
      <c r="K257" s="45">
        <f t="shared" si="9"/>
        <v>-150</v>
      </c>
      <c r="M257" s="18"/>
    </row>
    <row r="258" spans="1:13" x14ac:dyDescent="0.25">
      <c r="A258" s="35" t="s">
        <v>33</v>
      </c>
      <c r="B258" s="36" t="s">
        <v>27</v>
      </c>
      <c r="C258" s="37">
        <v>3932</v>
      </c>
      <c r="D258" s="42" t="s">
        <v>49</v>
      </c>
      <c r="E258" s="38">
        <v>18</v>
      </c>
      <c r="F258" s="39">
        <v>10700</v>
      </c>
      <c r="G258" s="40">
        <v>29100</v>
      </c>
      <c r="H258" s="43">
        <f t="shared" si="10"/>
        <v>18400</v>
      </c>
      <c r="I258" s="44">
        <f>IFERROR(VLOOKUP("CM-SHA 11-"&amp;C258,'[2]Light Weight'!B:C,2,0),"")</f>
        <v>10360</v>
      </c>
      <c r="J258" s="40">
        <v>18430</v>
      </c>
      <c r="K258" s="45">
        <f t="shared" si="9"/>
        <v>-30</v>
      </c>
      <c r="M258" s="18"/>
    </row>
    <row r="259" spans="1:13" x14ac:dyDescent="0.25">
      <c r="A259" s="35" t="s">
        <v>33</v>
      </c>
      <c r="B259" s="36" t="s">
        <v>27</v>
      </c>
      <c r="C259" s="37">
        <v>3930</v>
      </c>
      <c r="D259" s="42" t="s">
        <v>49</v>
      </c>
      <c r="E259" s="38">
        <v>18</v>
      </c>
      <c r="F259" s="39">
        <v>10800</v>
      </c>
      <c r="G259" s="40">
        <v>29000</v>
      </c>
      <c r="H259" s="43">
        <f t="shared" si="10"/>
        <v>18200</v>
      </c>
      <c r="I259" s="44">
        <f>IFERROR(VLOOKUP("CM-SHA 11-"&amp;C259,'[2]Light Weight'!B:C,2,0),"")</f>
        <v>10450</v>
      </c>
      <c r="J259" s="40">
        <v>18350</v>
      </c>
      <c r="K259" s="45">
        <f t="shared" si="9"/>
        <v>-150</v>
      </c>
      <c r="M259" s="18"/>
    </row>
    <row r="260" spans="1:13" x14ac:dyDescent="0.25">
      <c r="A260" s="35" t="s">
        <v>33</v>
      </c>
      <c r="B260" s="36" t="s">
        <v>27</v>
      </c>
      <c r="C260" s="37">
        <v>4114</v>
      </c>
      <c r="D260" s="42" t="s">
        <v>49</v>
      </c>
      <c r="E260" s="38">
        <v>18</v>
      </c>
      <c r="F260" s="39">
        <v>10900</v>
      </c>
      <c r="G260" s="40">
        <v>29000</v>
      </c>
      <c r="H260" s="43">
        <f t="shared" si="10"/>
        <v>18100</v>
      </c>
      <c r="I260" s="44">
        <f>IFERROR(VLOOKUP("CM-SHA 11-"&amp;C260,'[2]Light Weight'!B:C,2,0),"")</f>
        <v>10550</v>
      </c>
      <c r="J260" s="40">
        <v>18260</v>
      </c>
      <c r="K260" s="45">
        <f t="shared" si="9"/>
        <v>-160</v>
      </c>
      <c r="M260" s="18"/>
    </row>
    <row r="261" spans="1:13" x14ac:dyDescent="0.25">
      <c r="A261" s="35" t="s">
        <v>33</v>
      </c>
      <c r="B261" s="36" t="s">
        <v>27</v>
      </c>
      <c r="C261" s="37">
        <v>4406</v>
      </c>
      <c r="D261" s="42" t="s">
        <v>49</v>
      </c>
      <c r="E261" s="38">
        <v>18</v>
      </c>
      <c r="F261" s="39">
        <v>10900</v>
      </c>
      <c r="G261" s="40">
        <v>29000</v>
      </c>
      <c r="H261" s="43">
        <f t="shared" si="10"/>
        <v>18100</v>
      </c>
      <c r="I261" s="44">
        <f>IFERROR(VLOOKUP("CM-SHA 11-"&amp;C261,'[2]Light Weight'!B:C,2,0),"")</f>
        <v>10440</v>
      </c>
      <c r="J261" s="40">
        <v>18370</v>
      </c>
      <c r="K261" s="45">
        <f t="shared" si="9"/>
        <v>-270</v>
      </c>
      <c r="M261" s="18"/>
    </row>
    <row r="262" spans="1:13" x14ac:dyDescent="0.25">
      <c r="A262" s="35" t="s">
        <v>33</v>
      </c>
      <c r="B262" s="36" t="s">
        <v>27</v>
      </c>
      <c r="C262" s="37">
        <v>4407</v>
      </c>
      <c r="D262" s="42" t="s">
        <v>49</v>
      </c>
      <c r="E262" s="38">
        <v>18</v>
      </c>
      <c r="F262" s="39">
        <v>11000</v>
      </c>
      <c r="G262" s="40">
        <v>29200</v>
      </c>
      <c r="H262" s="43">
        <f t="shared" si="10"/>
        <v>18200</v>
      </c>
      <c r="I262" s="44">
        <f>IFERROR(VLOOKUP("CM-SHA 11-"&amp;C262,'[2]Light Weight'!B:C,2,0),"")</f>
        <v>10420</v>
      </c>
      <c r="J262" s="40">
        <v>18420</v>
      </c>
      <c r="K262" s="45">
        <f t="shared" si="9"/>
        <v>-220</v>
      </c>
      <c r="M262" s="18"/>
    </row>
    <row r="263" spans="1:13" x14ac:dyDescent="0.25">
      <c r="A263" s="35"/>
      <c r="B263" s="36"/>
      <c r="C263" s="37"/>
      <c r="D263" s="42" t="s">
        <v>49</v>
      </c>
      <c r="E263" s="38"/>
      <c r="F263" s="39"/>
      <c r="G263" s="40"/>
      <c r="H263" s="43">
        <f t="shared" si="10"/>
        <v>0</v>
      </c>
      <c r="I263" s="44" t="str">
        <f>IFERROR(VLOOKUP("CM-SHA 11-"&amp;C263,'[2]Light Weight'!B:C,2,0),"")</f>
        <v/>
      </c>
      <c r="J263" s="40"/>
      <c r="K263" s="45">
        <f t="shared" si="9"/>
        <v>0</v>
      </c>
      <c r="M263" s="18"/>
    </row>
    <row r="264" spans="1:13" x14ac:dyDescent="0.25">
      <c r="A264" s="35" t="s">
        <v>36</v>
      </c>
      <c r="B264" s="36" t="s">
        <v>26</v>
      </c>
      <c r="C264" s="37">
        <v>3932</v>
      </c>
      <c r="D264" s="42" t="s">
        <v>49</v>
      </c>
      <c r="E264" s="38">
        <v>18</v>
      </c>
      <c r="F264" s="39">
        <v>10700</v>
      </c>
      <c r="G264" s="40">
        <v>29300</v>
      </c>
      <c r="H264" s="43">
        <f t="shared" si="10"/>
        <v>18600</v>
      </c>
      <c r="I264" s="44">
        <f>IFERROR(VLOOKUP("CM-SHA 11-"&amp;C264,'[2]Light Weight'!B:C,2,0),"")</f>
        <v>10360</v>
      </c>
      <c r="J264" s="40"/>
      <c r="K264" s="45">
        <f t="shared" si="9"/>
        <v>18600</v>
      </c>
      <c r="M264" s="18"/>
    </row>
    <row r="265" spans="1:13" x14ac:dyDescent="0.25">
      <c r="A265" s="35" t="s">
        <v>36</v>
      </c>
      <c r="B265" s="36" t="s">
        <v>26</v>
      </c>
      <c r="C265" s="37">
        <v>3930</v>
      </c>
      <c r="D265" s="42" t="s">
        <v>49</v>
      </c>
      <c r="E265" s="38">
        <v>18</v>
      </c>
      <c r="F265" s="39"/>
      <c r="G265" s="40"/>
      <c r="H265" s="43">
        <f t="shared" si="10"/>
        <v>0</v>
      </c>
      <c r="I265" s="44">
        <f>IFERROR(VLOOKUP("CM-SHA 11-"&amp;C265,'[2]Light Weight'!B:C,2,0),"")</f>
        <v>10450</v>
      </c>
      <c r="J265" s="40"/>
      <c r="K265" s="45">
        <f t="shared" si="9"/>
        <v>0</v>
      </c>
      <c r="M265" s="18"/>
    </row>
    <row r="266" spans="1:13" x14ac:dyDescent="0.25">
      <c r="A266" s="35" t="s">
        <v>36</v>
      </c>
      <c r="B266" s="36" t="s">
        <v>26</v>
      </c>
      <c r="C266" s="37">
        <v>4113</v>
      </c>
      <c r="D266" s="42" t="s">
        <v>49</v>
      </c>
      <c r="E266" s="38">
        <v>18</v>
      </c>
      <c r="F266" s="39"/>
      <c r="G266" s="40"/>
      <c r="H266" s="43">
        <f t="shared" si="10"/>
        <v>0</v>
      </c>
      <c r="I266" s="44">
        <f>IFERROR(VLOOKUP("CM-SHA 11-"&amp;C266,'[2]Light Weight'!B:C,2,0),"")</f>
        <v>10430</v>
      </c>
      <c r="J266" s="40"/>
      <c r="K266" s="45">
        <f t="shared" si="9"/>
        <v>0</v>
      </c>
      <c r="M266" s="18"/>
    </row>
    <row r="267" spans="1:13" x14ac:dyDescent="0.25">
      <c r="A267" s="35" t="s">
        <v>36</v>
      </c>
      <c r="B267" s="36" t="s">
        <v>26</v>
      </c>
      <c r="C267" s="37">
        <v>4115</v>
      </c>
      <c r="D267" s="42" t="s">
        <v>49</v>
      </c>
      <c r="E267" s="38">
        <v>18</v>
      </c>
      <c r="F267" s="39"/>
      <c r="G267" s="40"/>
      <c r="H267" s="43">
        <f t="shared" si="10"/>
        <v>0</v>
      </c>
      <c r="I267" s="44">
        <f>IFERROR(VLOOKUP("CM-SHA 11-"&amp;C267,'[2]Light Weight'!B:C,2,0),"")</f>
        <v>10460</v>
      </c>
      <c r="J267" s="40"/>
      <c r="K267" s="45">
        <f t="shared" si="9"/>
        <v>0</v>
      </c>
      <c r="M267" s="18"/>
    </row>
    <row r="268" spans="1:13" x14ac:dyDescent="0.25">
      <c r="A268" s="35" t="s">
        <v>36</v>
      </c>
      <c r="B268" s="36" t="s">
        <v>26</v>
      </c>
      <c r="C268" s="37">
        <v>4416</v>
      </c>
      <c r="D268" s="42" t="s">
        <v>49</v>
      </c>
      <c r="E268" s="38">
        <v>18</v>
      </c>
      <c r="F268" s="39"/>
      <c r="G268" s="40"/>
      <c r="H268" s="43">
        <f t="shared" si="10"/>
        <v>0</v>
      </c>
      <c r="I268" s="44" t="str">
        <f>IFERROR(VLOOKUP("CM-SHA 11-"&amp;C268,'[2]Light Weight'!B:C,2,0),"")</f>
        <v/>
      </c>
      <c r="J268" s="40"/>
      <c r="K268" s="45">
        <f t="shared" si="9"/>
        <v>0</v>
      </c>
      <c r="M268" s="18"/>
    </row>
    <row r="269" spans="1:13" x14ac:dyDescent="0.25">
      <c r="A269" s="35" t="s">
        <v>36</v>
      </c>
      <c r="B269" s="36" t="s">
        <v>26</v>
      </c>
      <c r="C269" s="37">
        <v>4114</v>
      </c>
      <c r="D269" s="42" t="s">
        <v>49</v>
      </c>
      <c r="E269" s="38">
        <v>18</v>
      </c>
      <c r="F269" s="39"/>
      <c r="G269" s="40"/>
      <c r="H269" s="43">
        <f t="shared" si="10"/>
        <v>0</v>
      </c>
      <c r="I269" s="44">
        <f>IFERROR(VLOOKUP("CM-SHA 11-"&amp;C269,'[2]Light Weight'!B:C,2,0),"")</f>
        <v>10550</v>
      </c>
      <c r="J269" s="40"/>
      <c r="K269" s="45">
        <f t="shared" si="9"/>
        <v>0</v>
      </c>
      <c r="M269" s="18"/>
    </row>
    <row r="270" spans="1:13" x14ac:dyDescent="0.25">
      <c r="A270" s="35" t="s">
        <v>36</v>
      </c>
      <c r="B270" s="36" t="s">
        <v>26</v>
      </c>
      <c r="C270" s="37">
        <v>4112</v>
      </c>
      <c r="D270" s="42" t="s">
        <v>49</v>
      </c>
      <c r="E270" s="38">
        <v>23</v>
      </c>
      <c r="F270" s="39">
        <v>10800</v>
      </c>
      <c r="G270" s="40">
        <v>34100</v>
      </c>
      <c r="H270" s="43">
        <f t="shared" si="10"/>
        <v>23300</v>
      </c>
      <c r="I270" s="44">
        <f>IFERROR(VLOOKUP("CM-SHA 11-"&amp;C270,'[2]Light Weight'!B:C,2,0),"")</f>
        <v>10460</v>
      </c>
      <c r="J270" s="40"/>
      <c r="K270" s="45">
        <f t="shared" si="9"/>
        <v>23300</v>
      </c>
      <c r="M270" s="18"/>
    </row>
    <row r="271" spans="1:13" x14ac:dyDescent="0.25">
      <c r="A271" s="16"/>
      <c r="B271" s="19"/>
      <c r="C271" s="12"/>
      <c r="D271" s="42" t="s">
        <v>23</v>
      </c>
      <c r="E271" s="14"/>
      <c r="F271" s="12"/>
      <c r="G271" s="12"/>
      <c r="H271" s="43">
        <f t="shared" ref="H271:H425" si="11">G271-F271</f>
        <v>0</v>
      </c>
      <c r="I271" s="44" t="str">
        <f>IFERROR(VLOOKUP("CM-SHA 11-"&amp;C271,'[1]Light Weight'!B:C,2,0),"")</f>
        <v/>
      </c>
      <c r="J271" s="15"/>
      <c r="K271" s="45">
        <f t="shared" si="7"/>
        <v>0</v>
      </c>
      <c r="M271" s="18"/>
    </row>
    <row r="272" spans="1:13" x14ac:dyDescent="0.25">
      <c r="A272" s="16"/>
      <c r="B272" s="19"/>
      <c r="C272" s="12"/>
      <c r="D272" s="42" t="s">
        <v>23</v>
      </c>
      <c r="E272" s="14"/>
      <c r="F272" s="12"/>
      <c r="G272" s="12"/>
      <c r="H272" s="43">
        <f t="shared" si="11"/>
        <v>0</v>
      </c>
      <c r="I272" s="44" t="str">
        <f>IFERROR(VLOOKUP("CM-SHA 11-"&amp;C272,'[1]Light Weight'!B:C,2,0),"")</f>
        <v/>
      </c>
      <c r="J272" s="15"/>
      <c r="K272" s="45">
        <f t="shared" si="7"/>
        <v>0</v>
      </c>
      <c r="M272" s="18"/>
    </row>
    <row r="273" spans="1:13" x14ac:dyDescent="0.25">
      <c r="A273" s="16" t="s">
        <v>46</v>
      </c>
      <c r="B273" s="19" t="s">
        <v>27</v>
      </c>
      <c r="C273" s="12">
        <v>4413</v>
      </c>
      <c r="D273" s="42" t="s">
        <v>23</v>
      </c>
      <c r="E273" s="14">
        <v>22</v>
      </c>
      <c r="F273" s="12">
        <v>10800</v>
      </c>
      <c r="G273" s="12">
        <v>33200</v>
      </c>
      <c r="H273" s="43">
        <f t="shared" si="11"/>
        <v>22400</v>
      </c>
      <c r="I273" s="44">
        <f>IFERROR(VLOOKUP("CM-SHA 11-"&amp;C273,'[1]Light Weight'!B:C,2,0),"")</f>
        <v>10380</v>
      </c>
      <c r="J273" s="15">
        <v>22670</v>
      </c>
      <c r="K273" s="45">
        <f t="shared" ref="K273:K281" si="12">SUM(H273-J273)</f>
        <v>-270</v>
      </c>
      <c r="M273" s="18"/>
    </row>
    <row r="274" spans="1:13" x14ac:dyDescent="0.25">
      <c r="A274" s="16" t="s">
        <v>46</v>
      </c>
      <c r="B274" s="19" t="s">
        <v>27</v>
      </c>
      <c r="C274" s="12">
        <v>4415</v>
      </c>
      <c r="D274" s="42" t="s">
        <v>23</v>
      </c>
      <c r="E274" s="14">
        <v>22</v>
      </c>
      <c r="F274" s="12">
        <v>10700</v>
      </c>
      <c r="G274" s="12">
        <v>33100</v>
      </c>
      <c r="H274" s="43">
        <f t="shared" si="11"/>
        <v>22400</v>
      </c>
      <c r="I274" s="44">
        <f>IFERROR(VLOOKUP("CM-SHA 11-"&amp;C274,'[1]Light Weight'!B:C,2,0),"")</f>
        <v>10430</v>
      </c>
      <c r="J274" s="15">
        <v>22620</v>
      </c>
      <c r="K274" s="45">
        <f t="shared" si="12"/>
        <v>-220</v>
      </c>
      <c r="M274" s="18"/>
    </row>
    <row r="275" spans="1:13" x14ac:dyDescent="0.25">
      <c r="A275" s="16" t="s">
        <v>46</v>
      </c>
      <c r="B275" s="19" t="s">
        <v>27</v>
      </c>
      <c r="C275" s="12">
        <v>4414</v>
      </c>
      <c r="D275" s="42" t="s">
        <v>23</v>
      </c>
      <c r="E275" s="14">
        <v>22</v>
      </c>
      <c r="F275" s="12">
        <v>10800</v>
      </c>
      <c r="G275" s="12">
        <v>33100</v>
      </c>
      <c r="H275" s="43">
        <f t="shared" si="11"/>
        <v>22300</v>
      </c>
      <c r="I275" s="44">
        <f>IFERROR(VLOOKUP("CM-SHA 11-"&amp;C275,'[1]Light Weight'!B:C,2,0),"")</f>
        <v>10400</v>
      </c>
      <c r="J275" s="15">
        <v>22630</v>
      </c>
      <c r="K275" s="45">
        <f t="shared" si="12"/>
        <v>-330</v>
      </c>
      <c r="M275" s="18"/>
    </row>
    <row r="276" spans="1:13" x14ac:dyDescent="0.25">
      <c r="A276" s="16" t="s">
        <v>46</v>
      </c>
      <c r="B276" s="19" t="s">
        <v>27</v>
      </c>
      <c r="C276" s="12">
        <v>4115</v>
      </c>
      <c r="D276" s="42" t="s">
        <v>23</v>
      </c>
      <c r="E276" s="14">
        <v>22</v>
      </c>
      <c r="F276" s="12">
        <v>10700</v>
      </c>
      <c r="G276" s="12">
        <v>33100</v>
      </c>
      <c r="H276" s="43">
        <f t="shared" si="11"/>
        <v>22400</v>
      </c>
      <c r="I276" s="44">
        <f>IFERROR(VLOOKUP("CM-SHA 11-"&amp;C276,'[1]Light Weight'!B:C,2,0),"")</f>
        <v>10460</v>
      </c>
      <c r="J276" s="15">
        <v>22660</v>
      </c>
      <c r="K276" s="45">
        <f t="shared" si="12"/>
        <v>-260</v>
      </c>
      <c r="M276" s="18"/>
    </row>
    <row r="277" spans="1:13" x14ac:dyDescent="0.25">
      <c r="A277" s="16" t="s">
        <v>46</v>
      </c>
      <c r="B277" s="19" t="s">
        <v>27</v>
      </c>
      <c r="C277" s="12">
        <v>4405</v>
      </c>
      <c r="D277" s="42" t="s">
        <v>23</v>
      </c>
      <c r="E277" s="14">
        <v>22</v>
      </c>
      <c r="F277" s="12">
        <v>10700</v>
      </c>
      <c r="G277" s="12">
        <v>32900</v>
      </c>
      <c r="H277" s="43">
        <f t="shared" si="11"/>
        <v>22200</v>
      </c>
      <c r="I277" s="44">
        <f>IFERROR(VLOOKUP("CM-SHA 11-"&amp;C277,'[1]Light Weight'!B:C,2,0),"")</f>
        <v>10380</v>
      </c>
      <c r="J277" s="15">
        <v>22470</v>
      </c>
      <c r="K277" s="45">
        <f t="shared" si="12"/>
        <v>-270</v>
      </c>
      <c r="M277" s="18"/>
    </row>
    <row r="278" spans="1:13" x14ac:dyDescent="0.25">
      <c r="A278" s="16" t="s">
        <v>46</v>
      </c>
      <c r="B278" s="19" t="s">
        <v>27</v>
      </c>
      <c r="C278" s="12">
        <v>4403</v>
      </c>
      <c r="D278" s="42" t="s">
        <v>23</v>
      </c>
      <c r="E278" s="14">
        <v>22</v>
      </c>
      <c r="F278" s="12">
        <v>10700</v>
      </c>
      <c r="G278" s="12">
        <v>33100</v>
      </c>
      <c r="H278" s="43">
        <f t="shared" si="11"/>
        <v>22400</v>
      </c>
      <c r="I278" s="44">
        <f>IFERROR(VLOOKUP("CM-SHA 11-"&amp;C278,'[1]Light Weight'!B:C,2,0),"")</f>
        <v>10480</v>
      </c>
      <c r="J278" s="15">
        <v>22650</v>
      </c>
      <c r="K278" s="45">
        <f t="shared" si="12"/>
        <v>-250</v>
      </c>
      <c r="M278" s="18"/>
    </row>
    <row r="279" spans="1:13" x14ac:dyDescent="0.25">
      <c r="A279" s="16" t="s">
        <v>46</v>
      </c>
      <c r="B279" s="19" t="s">
        <v>27</v>
      </c>
      <c r="C279" s="12">
        <v>428</v>
      </c>
      <c r="D279" s="42" t="s">
        <v>23</v>
      </c>
      <c r="E279" s="14">
        <v>17</v>
      </c>
      <c r="F279" s="12">
        <v>12200</v>
      </c>
      <c r="G279" s="12">
        <v>29300</v>
      </c>
      <c r="H279" s="43">
        <f t="shared" si="11"/>
        <v>17100</v>
      </c>
      <c r="I279" s="44">
        <v>11890</v>
      </c>
      <c r="J279" s="15">
        <v>17300</v>
      </c>
      <c r="K279" s="45">
        <f t="shared" si="12"/>
        <v>-200</v>
      </c>
      <c r="M279" s="18"/>
    </row>
    <row r="280" spans="1:13" x14ac:dyDescent="0.25">
      <c r="A280" s="16" t="s">
        <v>46</v>
      </c>
      <c r="B280" s="19" t="s">
        <v>26</v>
      </c>
      <c r="C280" s="12">
        <v>4412</v>
      </c>
      <c r="D280" s="42" t="s">
        <v>23</v>
      </c>
      <c r="E280" s="14">
        <v>22</v>
      </c>
      <c r="F280" s="12">
        <v>10700</v>
      </c>
      <c r="G280" s="12">
        <v>33100</v>
      </c>
      <c r="H280" s="43">
        <f t="shared" si="11"/>
        <v>22400</v>
      </c>
      <c r="I280" s="44">
        <f>IFERROR(VLOOKUP("CM-SHA 11-"&amp;C280,'[1]Light Weight'!B:C,2,0),"")</f>
        <v>10330</v>
      </c>
      <c r="J280" s="15">
        <v>22700</v>
      </c>
      <c r="K280" s="45">
        <f t="shared" si="12"/>
        <v>-300</v>
      </c>
      <c r="M280" s="18"/>
    </row>
    <row r="281" spans="1:13" x14ac:dyDescent="0.25">
      <c r="A281" s="16" t="s">
        <v>46</v>
      </c>
      <c r="B281" s="19" t="s">
        <v>26</v>
      </c>
      <c r="C281" s="12">
        <v>4113</v>
      </c>
      <c r="D281" s="42" t="s">
        <v>23</v>
      </c>
      <c r="E281" s="14">
        <v>18</v>
      </c>
      <c r="F281" s="12">
        <v>10800</v>
      </c>
      <c r="G281" s="12">
        <v>29000</v>
      </c>
      <c r="H281" s="43">
        <f t="shared" si="11"/>
        <v>18200</v>
      </c>
      <c r="I281" s="44">
        <f>IFERROR(VLOOKUP("CM-SHA 11-"&amp;C281,'[1]Light Weight'!B:C,2,0),"")</f>
        <v>10430</v>
      </c>
      <c r="J281" s="15">
        <v>18460</v>
      </c>
      <c r="K281" s="45">
        <f t="shared" si="12"/>
        <v>-260</v>
      </c>
      <c r="M281" s="18"/>
    </row>
    <row r="282" spans="1:13" x14ac:dyDescent="0.25">
      <c r="A282" s="16"/>
      <c r="B282" s="19"/>
      <c r="C282" s="12"/>
      <c r="D282" s="42" t="s">
        <v>23</v>
      </c>
      <c r="E282" s="14"/>
      <c r="F282" s="12"/>
      <c r="G282" s="12"/>
      <c r="H282" s="43">
        <f t="shared" si="11"/>
        <v>0</v>
      </c>
      <c r="I282" s="44" t="str">
        <f>IFERROR(VLOOKUP("CM-SHA 11-"&amp;C282,'[1]Light Weight'!B:C,2,0),"")</f>
        <v/>
      </c>
      <c r="J282" s="15"/>
      <c r="K282" s="45">
        <f t="shared" si="7"/>
        <v>0</v>
      </c>
      <c r="M282" s="18"/>
    </row>
    <row r="283" spans="1:13" x14ac:dyDescent="0.25">
      <c r="A283" s="16" t="s">
        <v>50</v>
      </c>
      <c r="B283" s="19" t="s">
        <v>25</v>
      </c>
      <c r="C283" s="12">
        <v>4404</v>
      </c>
      <c r="D283" s="42" t="s">
        <v>49</v>
      </c>
      <c r="E283" s="14">
        <v>18</v>
      </c>
      <c r="F283" s="12">
        <v>10900</v>
      </c>
      <c r="G283" s="12">
        <v>29000</v>
      </c>
      <c r="H283" s="43">
        <f t="shared" si="11"/>
        <v>18100</v>
      </c>
      <c r="I283" s="44">
        <f>IFERROR(VLOOKUP("CM-SHA 11-"&amp;C283,'[1]Light Weight'!B:C,2,0),"")</f>
        <v>10550</v>
      </c>
      <c r="J283" s="15">
        <v>18260</v>
      </c>
      <c r="K283" s="45">
        <f t="shared" si="7"/>
        <v>-160</v>
      </c>
      <c r="M283" s="18"/>
    </row>
    <row r="284" spans="1:13" x14ac:dyDescent="0.25">
      <c r="A284" s="16" t="s">
        <v>50</v>
      </c>
      <c r="B284" s="19" t="s">
        <v>25</v>
      </c>
      <c r="C284" s="12">
        <v>4408</v>
      </c>
      <c r="D284" s="42" t="s">
        <v>49</v>
      </c>
      <c r="E284" s="14">
        <v>18</v>
      </c>
      <c r="F284" s="12">
        <v>10800</v>
      </c>
      <c r="G284" s="12">
        <v>29900</v>
      </c>
      <c r="H284" s="43">
        <f t="shared" si="11"/>
        <v>19100</v>
      </c>
      <c r="I284" s="44">
        <f>IFERROR(VLOOKUP("CM-SHA 11-"&amp;C284,'[1]Light Weight'!B:C,2,0),"")</f>
        <v>10420</v>
      </c>
      <c r="J284" s="15">
        <v>18280</v>
      </c>
      <c r="K284" s="45">
        <f t="shared" si="7"/>
        <v>820</v>
      </c>
      <c r="M284" s="18"/>
    </row>
    <row r="285" spans="1:13" x14ac:dyDescent="0.25">
      <c r="A285" s="16" t="s">
        <v>50</v>
      </c>
      <c r="B285" s="19" t="s">
        <v>25</v>
      </c>
      <c r="C285" s="41">
        <v>4412</v>
      </c>
      <c r="D285" s="42" t="s">
        <v>49</v>
      </c>
      <c r="E285" s="14">
        <v>18</v>
      </c>
      <c r="F285" s="12">
        <v>10800</v>
      </c>
      <c r="G285" s="12">
        <v>29000</v>
      </c>
      <c r="H285" s="43">
        <f t="shared" si="11"/>
        <v>18200</v>
      </c>
      <c r="I285" s="44">
        <f>IFERROR(VLOOKUP("CM-SHA 11-"&amp;C285,'[1]Light Weight'!B:C,2,0),"")</f>
        <v>10330</v>
      </c>
      <c r="J285" s="15">
        <v>18520</v>
      </c>
      <c r="K285" s="45">
        <f t="shared" si="7"/>
        <v>-320</v>
      </c>
      <c r="M285" s="18"/>
    </row>
    <row r="286" spans="1:13" x14ac:dyDescent="0.25">
      <c r="A286" s="16" t="s">
        <v>50</v>
      </c>
      <c r="B286" s="19" t="s">
        <v>25</v>
      </c>
      <c r="C286" s="12">
        <v>3933</v>
      </c>
      <c r="D286" s="42" t="s">
        <v>49</v>
      </c>
      <c r="E286" s="14">
        <v>18</v>
      </c>
      <c r="F286" s="12">
        <v>11800</v>
      </c>
      <c r="G286" s="12">
        <v>29100</v>
      </c>
      <c r="H286" s="43">
        <f t="shared" si="11"/>
        <v>17300</v>
      </c>
      <c r="I286" s="44">
        <f>IFERROR(VLOOKUP("CM-SHA 11-"&amp;C286,'[1]Light Weight'!B:C,2,0),"")</f>
        <v>10410</v>
      </c>
      <c r="J286" s="15">
        <v>18340</v>
      </c>
      <c r="K286" s="45">
        <f t="shared" si="7"/>
        <v>-1040</v>
      </c>
      <c r="M286" s="18"/>
    </row>
    <row r="287" spans="1:13" x14ac:dyDescent="0.25">
      <c r="A287" s="16" t="s">
        <v>50</v>
      </c>
      <c r="B287" s="19" t="s">
        <v>26</v>
      </c>
      <c r="C287" s="12">
        <v>4410</v>
      </c>
      <c r="D287" s="42" t="s">
        <v>23</v>
      </c>
      <c r="E287" s="14">
        <v>18</v>
      </c>
      <c r="F287" s="12">
        <v>10700</v>
      </c>
      <c r="G287" s="12">
        <v>29000</v>
      </c>
      <c r="H287" s="43">
        <f t="shared" si="11"/>
        <v>18300</v>
      </c>
      <c r="I287" s="44">
        <f>IFERROR(VLOOKUP("CM-SHA 11-"&amp;C287,'[1]Light Weight'!B:C,2,0),"")</f>
        <v>10500</v>
      </c>
      <c r="J287" s="15">
        <v>18450</v>
      </c>
      <c r="K287" s="45">
        <f t="shared" si="7"/>
        <v>-150</v>
      </c>
      <c r="M287" s="18"/>
    </row>
    <row r="288" spans="1:13" x14ac:dyDescent="0.25">
      <c r="A288" s="16" t="s">
        <v>50</v>
      </c>
      <c r="B288" s="19" t="s">
        <v>26</v>
      </c>
      <c r="C288" s="12">
        <v>4402</v>
      </c>
      <c r="D288" s="42" t="s">
        <v>23</v>
      </c>
      <c r="E288" s="14">
        <v>18</v>
      </c>
      <c r="F288" s="12">
        <v>10700</v>
      </c>
      <c r="G288" s="12">
        <v>28900</v>
      </c>
      <c r="H288" s="43">
        <f t="shared" si="11"/>
        <v>18200</v>
      </c>
      <c r="I288" s="44">
        <f>IFERROR(VLOOKUP("CM-SHA 11-"&amp;C288,'[1]Light Weight'!B:C,2,0),"")</f>
        <v>10420</v>
      </c>
      <c r="J288" s="15">
        <v>18710</v>
      </c>
      <c r="K288" s="45">
        <f t="shared" si="7"/>
        <v>-510</v>
      </c>
      <c r="M288" s="18"/>
    </row>
    <row r="289" spans="1:13" x14ac:dyDescent="0.25">
      <c r="A289" s="16" t="s">
        <v>50</v>
      </c>
      <c r="B289" s="19" t="s">
        <v>25</v>
      </c>
      <c r="C289" s="12">
        <v>2322</v>
      </c>
      <c r="D289" s="42" t="s">
        <v>23</v>
      </c>
      <c r="E289" s="14">
        <v>24</v>
      </c>
      <c r="F289" s="12">
        <v>12200</v>
      </c>
      <c r="G289" s="12">
        <v>37000</v>
      </c>
      <c r="H289" s="43">
        <f t="shared" si="11"/>
        <v>24800</v>
      </c>
      <c r="I289" s="44">
        <v>12130</v>
      </c>
      <c r="J289" s="15">
        <v>24800</v>
      </c>
      <c r="K289" s="45">
        <f t="shared" si="7"/>
        <v>0</v>
      </c>
      <c r="M289" s="18"/>
    </row>
    <row r="290" spans="1:13" x14ac:dyDescent="0.25">
      <c r="A290" s="16" t="s">
        <v>50</v>
      </c>
      <c r="B290" s="19" t="s">
        <v>25</v>
      </c>
      <c r="C290" s="12">
        <v>2322</v>
      </c>
      <c r="D290" s="42" t="s">
        <v>23</v>
      </c>
      <c r="E290" s="14">
        <v>24</v>
      </c>
      <c r="F290" s="12">
        <v>12200</v>
      </c>
      <c r="G290" s="12">
        <v>36800</v>
      </c>
      <c r="H290" s="43">
        <f t="shared" si="11"/>
        <v>24600</v>
      </c>
      <c r="I290" s="44">
        <v>12080</v>
      </c>
      <c r="J290" s="15">
        <v>24720</v>
      </c>
      <c r="K290" s="45">
        <f t="shared" si="7"/>
        <v>-120</v>
      </c>
      <c r="M290" s="18"/>
    </row>
    <row r="291" spans="1:13" x14ac:dyDescent="0.25">
      <c r="A291" s="16" t="s">
        <v>50</v>
      </c>
      <c r="B291" s="19" t="s">
        <v>25</v>
      </c>
      <c r="C291" s="12">
        <v>4416</v>
      </c>
      <c r="D291" s="42" t="s">
        <v>49</v>
      </c>
      <c r="E291" s="14">
        <v>23</v>
      </c>
      <c r="F291" s="12">
        <v>10700</v>
      </c>
      <c r="G291" s="12">
        <v>34200</v>
      </c>
      <c r="H291" s="43">
        <f t="shared" si="11"/>
        <v>23500</v>
      </c>
      <c r="I291" s="44">
        <v>10390</v>
      </c>
      <c r="J291" s="15">
        <v>23700</v>
      </c>
      <c r="K291" s="45">
        <f t="shared" si="7"/>
        <v>-200</v>
      </c>
      <c r="M291" s="18"/>
    </row>
    <row r="292" spans="1:13" x14ac:dyDescent="0.25">
      <c r="A292" s="16" t="s">
        <v>50</v>
      </c>
      <c r="B292" s="19" t="s">
        <v>25</v>
      </c>
      <c r="C292" s="12">
        <v>4112</v>
      </c>
      <c r="D292" s="42" t="s">
        <v>49</v>
      </c>
      <c r="E292" s="14">
        <v>23</v>
      </c>
      <c r="F292" s="12">
        <v>10800</v>
      </c>
      <c r="G292" s="12">
        <v>34300</v>
      </c>
      <c r="H292" s="43">
        <f t="shared" si="11"/>
        <v>23500</v>
      </c>
      <c r="I292" s="44">
        <f>IFERROR(VLOOKUP("CM-SHA 11-"&amp;C292,'[1]Light Weight'!B:C,2,0),"")</f>
        <v>10460</v>
      </c>
      <c r="J292" s="15">
        <v>23680</v>
      </c>
      <c r="K292" s="45">
        <f t="shared" si="7"/>
        <v>-180</v>
      </c>
      <c r="M292" s="18"/>
    </row>
    <row r="293" spans="1:13" x14ac:dyDescent="0.25">
      <c r="A293" s="16" t="s">
        <v>50</v>
      </c>
      <c r="B293" s="19" t="s">
        <v>25</v>
      </c>
      <c r="C293" s="12">
        <v>4113</v>
      </c>
      <c r="D293" s="42" t="s">
        <v>23</v>
      </c>
      <c r="E293" s="14">
        <v>23</v>
      </c>
      <c r="F293" s="12">
        <v>10700</v>
      </c>
      <c r="G293" s="12">
        <v>34100</v>
      </c>
      <c r="H293" s="43">
        <f t="shared" si="11"/>
        <v>23400</v>
      </c>
      <c r="I293" s="44">
        <f>IFERROR(VLOOKUP("CM-SHA 11-"&amp;C293,'[1]Light Weight'!B:C,2,0),"")</f>
        <v>10430</v>
      </c>
      <c r="J293" s="15">
        <v>23600</v>
      </c>
      <c r="K293" s="45">
        <f t="shared" si="7"/>
        <v>-200</v>
      </c>
      <c r="M293" s="18"/>
    </row>
    <row r="294" spans="1:13" x14ac:dyDescent="0.25">
      <c r="A294" s="16" t="s">
        <v>50</v>
      </c>
      <c r="B294" s="19" t="s">
        <v>25</v>
      </c>
      <c r="C294" s="12">
        <v>2322</v>
      </c>
      <c r="D294" s="42" t="s">
        <v>23</v>
      </c>
      <c r="E294" s="14">
        <v>24</v>
      </c>
      <c r="F294" s="12">
        <v>12300</v>
      </c>
      <c r="G294" s="12">
        <v>36700</v>
      </c>
      <c r="H294" s="43">
        <f t="shared" si="11"/>
        <v>24400</v>
      </c>
      <c r="I294" s="44">
        <v>12130</v>
      </c>
      <c r="J294" s="15">
        <v>24740</v>
      </c>
      <c r="K294" s="45">
        <f t="shared" si="7"/>
        <v>-340</v>
      </c>
      <c r="M294" s="18"/>
    </row>
    <row r="295" spans="1:13" x14ac:dyDescent="0.25">
      <c r="A295" s="16" t="s">
        <v>50</v>
      </c>
      <c r="B295" s="19" t="s">
        <v>27</v>
      </c>
      <c r="C295" s="12">
        <v>4112</v>
      </c>
      <c r="D295" s="42" t="s">
        <v>49</v>
      </c>
      <c r="E295" s="14">
        <v>23</v>
      </c>
      <c r="F295" s="12">
        <v>10800</v>
      </c>
      <c r="G295" s="12">
        <v>34100</v>
      </c>
      <c r="H295" s="43">
        <f t="shared" si="11"/>
        <v>23300</v>
      </c>
      <c r="I295" s="44">
        <f>IFERROR(VLOOKUP("CM-SHA 11-"&amp;C295,'[1]Light Weight'!B:C,2,0),"")</f>
        <v>10460</v>
      </c>
      <c r="J295" s="15">
        <v>23440</v>
      </c>
      <c r="K295" s="45">
        <f t="shared" si="7"/>
        <v>-140</v>
      </c>
      <c r="M295" s="18"/>
    </row>
    <row r="296" spans="1:13" x14ac:dyDescent="0.25">
      <c r="A296" s="16" t="s">
        <v>50</v>
      </c>
      <c r="B296" s="19" t="s">
        <v>26</v>
      </c>
      <c r="C296" s="12">
        <v>4405</v>
      </c>
      <c r="D296" s="42" t="s">
        <v>49</v>
      </c>
      <c r="E296" s="14">
        <v>23</v>
      </c>
      <c r="F296" s="12">
        <v>10800</v>
      </c>
      <c r="G296" s="12">
        <v>34200</v>
      </c>
      <c r="H296" s="43">
        <f t="shared" si="11"/>
        <v>23400</v>
      </c>
      <c r="I296" s="44">
        <f>IFERROR(VLOOKUP("CM-SHA 11-"&amp;C296,'[1]Light Weight'!B:C,2,0),"")</f>
        <v>10380</v>
      </c>
      <c r="J296" s="15">
        <v>23580</v>
      </c>
      <c r="K296" s="45">
        <f t="shared" si="7"/>
        <v>-180</v>
      </c>
      <c r="M296" s="18"/>
    </row>
    <row r="297" spans="1:13" x14ac:dyDescent="0.25">
      <c r="A297" s="16" t="s">
        <v>50</v>
      </c>
      <c r="B297" s="19" t="s">
        <v>27</v>
      </c>
      <c r="C297" s="12">
        <v>428</v>
      </c>
      <c r="D297" s="42" t="s">
        <v>23</v>
      </c>
      <c r="E297" s="14">
        <v>17</v>
      </c>
      <c r="F297" s="12">
        <v>12200</v>
      </c>
      <c r="G297" s="12">
        <v>29500</v>
      </c>
      <c r="H297" s="43">
        <f t="shared" si="11"/>
        <v>17300</v>
      </c>
      <c r="I297" s="44">
        <v>11890</v>
      </c>
      <c r="J297" s="15">
        <v>17490</v>
      </c>
      <c r="K297" s="45">
        <f t="shared" si="7"/>
        <v>-190</v>
      </c>
      <c r="M297" s="18"/>
    </row>
    <row r="298" spans="1:13" x14ac:dyDescent="0.25">
      <c r="A298" s="16" t="s">
        <v>50</v>
      </c>
      <c r="B298" s="19" t="s">
        <v>27</v>
      </c>
      <c r="C298" s="12">
        <v>4416</v>
      </c>
      <c r="D298" s="42" t="s">
        <v>23</v>
      </c>
      <c r="E298" s="14">
        <v>22</v>
      </c>
      <c r="F298" s="12">
        <v>10700</v>
      </c>
      <c r="G298" s="12">
        <v>33000</v>
      </c>
      <c r="H298" s="43">
        <f t="shared" si="11"/>
        <v>22300</v>
      </c>
      <c r="I298" s="44">
        <v>10390</v>
      </c>
      <c r="J298" s="15">
        <v>22640</v>
      </c>
      <c r="K298" s="45">
        <f t="shared" si="7"/>
        <v>-340</v>
      </c>
      <c r="M298" s="18"/>
    </row>
    <row r="299" spans="1:13" x14ac:dyDescent="0.25">
      <c r="A299" s="16" t="s">
        <v>50</v>
      </c>
      <c r="B299" s="19" t="s">
        <v>27</v>
      </c>
      <c r="C299" s="12">
        <v>4114</v>
      </c>
      <c r="D299" s="42" t="s">
        <v>23</v>
      </c>
      <c r="E299" s="14">
        <v>22</v>
      </c>
      <c r="F299" s="12">
        <v>10700</v>
      </c>
      <c r="G299" s="12">
        <v>32900</v>
      </c>
      <c r="H299" s="43">
        <f t="shared" si="11"/>
        <v>22200</v>
      </c>
      <c r="I299" s="44">
        <f>IFERROR(VLOOKUP("CM-SHA 11-"&amp;C299,'[1]Light Weight'!B:C,2,0),"")</f>
        <v>10550</v>
      </c>
      <c r="J299" s="15">
        <v>22560</v>
      </c>
      <c r="K299" s="45">
        <f t="shared" si="7"/>
        <v>-360</v>
      </c>
      <c r="M299" s="18"/>
    </row>
    <row r="300" spans="1:13" x14ac:dyDescent="0.25">
      <c r="A300" s="16" t="s">
        <v>50</v>
      </c>
      <c r="B300" s="19" t="s">
        <v>27</v>
      </c>
      <c r="C300" s="12">
        <v>4113</v>
      </c>
      <c r="D300" s="42" t="s">
        <v>23</v>
      </c>
      <c r="E300" s="14">
        <v>22</v>
      </c>
      <c r="F300" s="12">
        <v>10700</v>
      </c>
      <c r="G300" s="12">
        <v>32900</v>
      </c>
      <c r="H300" s="43">
        <f t="shared" si="11"/>
        <v>22200</v>
      </c>
      <c r="I300" s="44">
        <f>IFERROR(VLOOKUP("CM-SHA 11-"&amp;C300,'[1]Light Weight'!B:C,2,0),"")</f>
        <v>10430</v>
      </c>
      <c r="J300" s="15">
        <v>22730</v>
      </c>
      <c r="K300" s="45">
        <f t="shared" si="7"/>
        <v>-530</v>
      </c>
      <c r="M300" s="18"/>
    </row>
    <row r="301" spans="1:13" x14ac:dyDescent="0.25">
      <c r="A301" s="16" t="s">
        <v>50</v>
      </c>
      <c r="B301" s="19" t="s">
        <v>27</v>
      </c>
      <c r="C301" s="12">
        <v>4411</v>
      </c>
      <c r="D301" s="42" t="s">
        <v>23</v>
      </c>
      <c r="E301" s="14">
        <v>22</v>
      </c>
      <c r="F301" s="12">
        <v>10700</v>
      </c>
      <c r="G301" s="12">
        <v>33000</v>
      </c>
      <c r="H301" s="43">
        <f t="shared" si="11"/>
        <v>22300</v>
      </c>
      <c r="I301" s="44">
        <f>IFERROR(VLOOKUP("CM-SHA 11-"&amp;C301,'[1]Light Weight'!B:C,2,0),"")</f>
        <v>10340</v>
      </c>
      <c r="J301" s="15">
        <v>22370</v>
      </c>
      <c r="K301" s="45">
        <f t="shared" si="7"/>
        <v>-70</v>
      </c>
      <c r="M301" s="18"/>
    </row>
    <row r="302" spans="1:13" x14ac:dyDescent="0.25">
      <c r="A302" s="16" t="s">
        <v>50</v>
      </c>
      <c r="B302" s="19" t="s">
        <v>27</v>
      </c>
      <c r="C302" s="12">
        <v>4407</v>
      </c>
      <c r="D302" s="42" t="s">
        <v>23</v>
      </c>
      <c r="E302" s="14">
        <v>22</v>
      </c>
      <c r="F302" s="12">
        <v>10600</v>
      </c>
      <c r="G302" s="12">
        <v>32900</v>
      </c>
      <c r="H302" s="43">
        <f t="shared" si="11"/>
        <v>22300</v>
      </c>
      <c r="I302" s="44">
        <f>IFERROR(VLOOKUP("CM-SHA 11-"&amp;C302,'[1]Light Weight'!B:C,2,0),"")</f>
        <v>10420</v>
      </c>
      <c r="J302" s="15">
        <v>22460</v>
      </c>
      <c r="K302" s="45">
        <f t="shared" si="7"/>
        <v>-160</v>
      </c>
      <c r="M302" s="18"/>
    </row>
    <row r="303" spans="1:13" x14ac:dyDescent="0.25">
      <c r="A303" s="16" t="s">
        <v>50</v>
      </c>
      <c r="B303" s="19" t="s">
        <v>27</v>
      </c>
      <c r="C303" s="12">
        <v>4406</v>
      </c>
      <c r="D303" s="42" t="s">
        <v>23</v>
      </c>
      <c r="E303" s="14">
        <v>22</v>
      </c>
      <c r="F303" s="12">
        <v>10700</v>
      </c>
      <c r="G303" s="12">
        <v>33000</v>
      </c>
      <c r="H303" s="43">
        <f t="shared" si="11"/>
        <v>22300</v>
      </c>
      <c r="I303" s="44">
        <f>IFERROR(VLOOKUP("CM-SHA 11-"&amp;C303,'[1]Light Weight'!B:C,2,0),"")</f>
        <v>10440</v>
      </c>
      <c r="J303" s="15">
        <v>22480</v>
      </c>
      <c r="K303" s="45">
        <f t="shared" si="7"/>
        <v>-180</v>
      </c>
      <c r="M303" s="18"/>
    </row>
    <row r="304" spans="1:13" x14ac:dyDescent="0.25">
      <c r="A304" s="16" t="s">
        <v>50</v>
      </c>
      <c r="B304" s="19" t="s">
        <v>27</v>
      </c>
      <c r="C304" s="12">
        <v>4115</v>
      </c>
      <c r="D304" s="42" t="s">
        <v>23</v>
      </c>
      <c r="E304" s="14">
        <v>22</v>
      </c>
      <c r="F304" s="12">
        <v>10600</v>
      </c>
      <c r="G304" s="12">
        <v>32900</v>
      </c>
      <c r="H304" s="43">
        <f t="shared" si="11"/>
        <v>22300</v>
      </c>
      <c r="I304" s="44">
        <f>IFERROR(VLOOKUP("CM-SHA 11-"&amp;C304,'[1]Light Weight'!B:C,2,0),"")</f>
        <v>10460</v>
      </c>
      <c r="J304" s="15">
        <v>22390</v>
      </c>
      <c r="K304" s="45">
        <f t="shared" si="7"/>
        <v>-90</v>
      </c>
      <c r="M304" s="18"/>
    </row>
    <row r="305" spans="1:13" x14ac:dyDescent="0.25">
      <c r="A305" s="16" t="s">
        <v>50</v>
      </c>
      <c r="B305" s="19" t="s">
        <v>27</v>
      </c>
      <c r="C305" s="12">
        <v>3931</v>
      </c>
      <c r="D305" s="42" t="s">
        <v>23</v>
      </c>
      <c r="E305" s="14">
        <v>22</v>
      </c>
      <c r="F305" s="12">
        <v>10700</v>
      </c>
      <c r="G305" s="12">
        <v>32900</v>
      </c>
      <c r="H305" s="43">
        <f t="shared" si="11"/>
        <v>22200</v>
      </c>
      <c r="I305" s="44">
        <f>IFERROR(VLOOKUP("CM-SHA 11-"&amp;C305,'[1]Light Weight'!B:C,2,0),"")</f>
        <v>10520</v>
      </c>
      <c r="J305" s="15">
        <v>22410</v>
      </c>
      <c r="K305" s="45">
        <f t="shared" si="7"/>
        <v>-210</v>
      </c>
      <c r="M305" s="18"/>
    </row>
    <row r="306" spans="1:13" x14ac:dyDescent="0.25">
      <c r="A306" s="16" t="s">
        <v>50</v>
      </c>
      <c r="B306" s="19" t="s">
        <v>27</v>
      </c>
      <c r="C306" s="12">
        <v>428</v>
      </c>
      <c r="D306" s="42" t="s">
        <v>23</v>
      </c>
      <c r="E306" s="14">
        <v>17</v>
      </c>
      <c r="F306" s="12">
        <v>12200</v>
      </c>
      <c r="G306" s="12">
        <v>29400</v>
      </c>
      <c r="H306" s="43">
        <f t="shared" si="11"/>
        <v>17200</v>
      </c>
      <c r="I306" s="44">
        <v>11900</v>
      </c>
      <c r="J306" s="15">
        <v>17490</v>
      </c>
      <c r="K306" s="45">
        <f t="shared" si="7"/>
        <v>-290</v>
      </c>
      <c r="M306" s="18"/>
    </row>
    <row r="307" spans="1:13" x14ac:dyDescent="0.25">
      <c r="A307" s="16"/>
      <c r="B307" s="19"/>
      <c r="C307" s="12"/>
      <c r="D307" s="42" t="s">
        <v>23</v>
      </c>
      <c r="E307" s="14"/>
      <c r="F307" s="12"/>
      <c r="G307" s="12"/>
      <c r="H307" s="43">
        <f t="shared" si="11"/>
        <v>0</v>
      </c>
      <c r="I307" s="44" t="str">
        <f>IFERROR(VLOOKUP("CM-SHA 11-"&amp;C307,'[1]Light Weight'!B:C,2,0),"")</f>
        <v/>
      </c>
      <c r="J307" s="15"/>
      <c r="K307" s="45">
        <f t="shared" si="7"/>
        <v>0</v>
      </c>
      <c r="M307" s="18"/>
    </row>
    <row r="308" spans="1:13" x14ac:dyDescent="0.25">
      <c r="A308" s="16" t="s">
        <v>51</v>
      </c>
      <c r="B308" s="19" t="s">
        <v>25</v>
      </c>
      <c r="C308" s="12">
        <v>4414</v>
      </c>
      <c r="D308" s="42" t="s">
        <v>23</v>
      </c>
      <c r="E308" s="14">
        <v>18</v>
      </c>
      <c r="F308" s="12">
        <v>10700</v>
      </c>
      <c r="G308" s="12">
        <v>29000</v>
      </c>
      <c r="H308" s="43">
        <f t="shared" si="11"/>
        <v>18300</v>
      </c>
      <c r="I308" s="44">
        <f>IFERROR(VLOOKUP("CM-SHA 11-"&amp;C308,'[1]Light Weight'!B:C,2,0),"")</f>
        <v>10400</v>
      </c>
      <c r="J308" s="15">
        <v>18440</v>
      </c>
      <c r="K308" s="45">
        <f t="shared" si="7"/>
        <v>-140</v>
      </c>
      <c r="M308" s="18"/>
    </row>
    <row r="309" spans="1:13" x14ac:dyDescent="0.25">
      <c r="A309" s="16" t="s">
        <v>51</v>
      </c>
      <c r="B309" s="19" t="s">
        <v>25</v>
      </c>
      <c r="C309" s="12">
        <v>3932</v>
      </c>
      <c r="D309" s="42" t="s">
        <v>23</v>
      </c>
      <c r="E309" s="14">
        <v>18</v>
      </c>
      <c r="F309" s="12">
        <v>10700</v>
      </c>
      <c r="G309" s="12">
        <v>29000</v>
      </c>
      <c r="H309" s="43">
        <f t="shared" si="11"/>
        <v>18300</v>
      </c>
      <c r="I309" s="44">
        <f>IFERROR(VLOOKUP("CM-SHA 11-"&amp;C309,'[1]Light Weight'!B:C,2,0),"")</f>
        <v>10360</v>
      </c>
      <c r="J309" s="15">
        <v>18670</v>
      </c>
      <c r="K309" s="45">
        <f t="shared" si="7"/>
        <v>-370</v>
      </c>
      <c r="M309" s="18"/>
    </row>
    <row r="310" spans="1:13" x14ac:dyDescent="0.25">
      <c r="A310" s="16" t="s">
        <v>51</v>
      </c>
      <c r="B310" s="19" t="s">
        <v>25</v>
      </c>
      <c r="C310" s="12">
        <v>4413</v>
      </c>
      <c r="D310" s="42" t="s">
        <v>23</v>
      </c>
      <c r="E310" s="14">
        <v>18</v>
      </c>
      <c r="F310" s="12">
        <v>10700</v>
      </c>
      <c r="G310" s="12">
        <v>29000</v>
      </c>
      <c r="H310" s="43">
        <f t="shared" si="11"/>
        <v>18300</v>
      </c>
      <c r="I310" s="44">
        <f>IFERROR(VLOOKUP("CM-SHA 11-"&amp;C310,'[1]Light Weight'!B:C,2,0),"")</f>
        <v>10380</v>
      </c>
      <c r="J310" s="15">
        <v>18690</v>
      </c>
      <c r="K310" s="45">
        <f t="shared" si="7"/>
        <v>-390</v>
      </c>
      <c r="M310" s="18"/>
    </row>
    <row r="311" spans="1:13" x14ac:dyDescent="0.25">
      <c r="A311" s="16" t="s">
        <v>51</v>
      </c>
      <c r="B311" s="19" t="s">
        <v>25</v>
      </c>
      <c r="C311" s="12">
        <v>4405</v>
      </c>
      <c r="D311" s="42" t="s">
        <v>23</v>
      </c>
      <c r="E311" s="14">
        <v>18</v>
      </c>
      <c r="F311" s="12">
        <v>10700</v>
      </c>
      <c r="G311" s="12">
        <v>28900</v>
      </c>
      <c r="H311" s="43">
        <f t="shared" si="11"/>
        <v>18200</v>
      </c>
      <c r="I311" s="44">
        <f>IFERROR(VLOOKUP("CM-SHA 11-"&amp;C311,'[1]Light Weight'!B:C,2,0),"")</f>
        <v>10380</v>
      </c>
      <c r="J311" s="15">
        <v>18400</v>
      </c>
      <c r="K311" s="45">
        <f t="shared" si="7"/>
        <v>-200</v>
      </c>
      <c r="M311" s="18"/>
    </row>
    <row r="312" spans="1:13" x14ac:dyDescent="0.25">
      <c r="A312" s="16" t="s">
        <v>51</v>
      </c>
      <c r="B312" s="19" t="s">
        <v>25</v>
      </c>
      <c r="C312" s="12">
        <v>4415</v>
      </c>
      <c r="D312" s="42" t="s">
        <v>23</v>
      </c>
      <c r="E312" s="14">
        <v>23</v>
      </c>
      <c r="F312" s="12">
        <v>10700</v>
      </c>
      <c r="G312" s="12">
        <v>34000</v>
      </c>
      <c r="H312" s="43">
        <f t="shared" si="11"/>
        <v>23300</v>
      </c>
      <c r="I312" s="44">
        <f>IFERROR(VLOOKUP("CM-SHA 11-"&amp;C312,'[1]Light Weight'!B:C,2,0),"")</f>
        <v>10430</v>
      </c>
      <c r="J312" s="15">
        <v>23580</v>
      </c>
      <c r="K312" s="45">
        <f t="shared" si="7"/>
        <v>-280</v>
      </c>
      <c r="M312" s="18"/>
    </row>
    <row r="313" spans="1:13" x14ac:dyDescent="0.25">
      <c r="A313" s="16" t="s">
        <v>51</v>
      </c>
      <c r="B313" s="19" t="s">
        <v>25</v>
      </c>
      <c r="C313" s="12">
        <v>428</v>
      </c>
      <c r="D313" s="42" t="s">
        <v>23</v>
      </c>
      <c r="E313" s="14">
        <v>17</v>
      </c>
      <c r="F313" s="12">
        <v>12000</v>
      </c>
      <c r="G313" s="12">
        <v>29300</v>
      </c>
      <c r="H313" s="43">
        <f t="shared" si="11"/>
        <v>17300</v>
      </c>
      <c r="I313" s="44">
        <v>11890</v>
      </c>
      <c r="J313" s="15">
        <v>17500</v>
      </c>
      <c r="K313" s="45">
        <f t="shared" si="7"/>
        <v>-200</v>
      </c>
      <c r="M313" s="18"/>
    </row>
    <row r="314" spans="1:13" x14ac:dyDescent="0.25">
      <c r="A314" s="16" t="s">
        <v>51</v>
      </c>
      <c r="B314" s="19" t="s">
        <v>27</v>
      </c>
      <c r="C314" s="12">
        <v>3933</v>
      </c>
      <c r="D314" s="42" t="s">
        <v>49</v>
      </c>
      <c r="E314" s="14">
        <v>18</v>
      </c>
      <c r="F314" s="12">
        <v>10900</v>
      </c>
      <c r="G314" s="12">
        <v>29100</v>
      </c>
      <c r="H314" s="43">
        <f t="shared" si="11"/>
        <v>18200</v>
      </c>
      <c r="I314" s="44">
        <f>IFERROR(VLOOKUP("CM-SHA 11-"&amp;C314,'[1]Light Weight'!B:C,2,0),"")</f>
        <v>10410</v>
      </c>
      <c r="J314" s="15">
        <v>18450</v>
      </c>
      <c r="K314" s="45">
        <f t="shared" si="7"/>
        <v>-250</v>
      </c>
      <c r="M314" s="18"/>
    </row>
    <row r="315" spans="1:13" x14ac:dyDescent="0.25">
      <c r="A315" s="16" t="s">
        <v>51</v>
      </c>
      <c r="B315" s="19" t="s">
        <v>27</v>
      </c>
      <c r="C315" s="12">
        <v>4403</v>
      </c>
      <c r="D315" s="42" t="s">
        <v>49</v>
      </c>
      <c r="E315" s="14">
        <v>18</v>
      </c>
      <c r="F315" s="12">
        <v>10900</v>
      </c>
      <c r="G315" s="12">
        <v>29100</v>
      </c>
      <c r="H315" s="43">
        <f t="shared" si="11"/>
        <v>18200</v>
      </c>
      <c r="I315" s="44">
        <f>IFERROR(VLOOKUP("CM-SHA 11-"&amp;C315,'[1]Light Weight'!B:C,2,0),"")</f>
        <v>10480</v>
      </c>
      <c r="J315" s="15">
        <v>18380</v>
      </c>
      <c r="K315" s="45">
        <f t="shared" si="7"/>
        <v>-180</v>
      </c>
      <c r="M315" s="18"/>
    </row>
    <row r="316" spans="1:13" x14ac:dyDescent="0.25">
      <c r="A316" s="16" t="s">
        <v>51</v>
      </c>
      <c r="B316" s="19" t="s">
        <v>27</v>
      </c>
      <c r="C316" s="12">
        <v>4415</v>
      </c>
      <c r="D316" s="42" t="s">
        <v>49</v>
      </c>
      <c r="E316" s="14">
        <v>18</v>
      </c>
      <c r="F316" s="12">
        <v>10900</v>
      </c>
      <c r="G316" s="12">
        <v>29100</v>
      </c>
      <c r="H316" s="43">
        <f t="shared" si="11"/>
        <v>18200</v>
      </c>
      <c r="I316" s="44">
        <f>IFERROR(VLOOKUP("CM-SHA 11-"&amp;C316,'[1]Light Weight'!B:C,2,0),"")</f>
        <v>10430</v>
      </c>
      <c r="J316" s="15">
        <v>18500</v>
      </c>
      <c r="K316" s="45">
        <f t="shared" si="7"/>
        <v>-300</v>
      </c>
      <c r="M316" s="18"/>
    </row>
    <row r="317" spans="1:13" x14ac:dyDescent="0.25">
      <c r="A317" s="16" t="s">
        <v>51</v>
      </c>
      <c r="B317" s="19" t="s">
        <v>27</v>
      </c>
      <c r="C317" s="12">
        <v>4409</v>
      </c>
      <c r="D317" s="42" t="s">
        <v>49</v>
      </c>
      <c r="E317" s="14">
        <v>18</v>
      </c>
      <c r="F317" s="12">
        <v>10800</v>
      </c>
      <c r="G317" s="12">
        <v>29100</v>
      </c>
      <c r="H317" s="43">
        <f t="shared" si="11"/>
        <v>18300</v>
      </c>
      <c r="I317" s="44">
        <f>IFERROR(VLOOKUP("CM-SHA 11-"&amp;C317,'[1]Light Weight'!B:C,2,0),"")</f>
        <v>10450</v>
      </c>
      <c r="J317" s="15">
        <v>18470</v>
      </c>
      <c r="K317" s="45">
        <f t="shared" si="7"/>
        <v>-170</v>
      </c>
      <c r="M317" s="18"/>
    </row>
    <row r="318" spans="1:13" x14ac:dyDescent="0.25">
      <c r="A318" s="16" t="s">
        <v>51</v>
      </c>
      <c r="B318" s="19" t="s">
        <v>27</v>
      </c>
      <c r="C318" s="12">
        <v>4412</v>
      </c>
      <c r="D318" s="42" t="s">
        <v>49</v>
      </c>
      <c r="E318" s="14">
        <v>18</v>
      </c>
      <c r="F318" s="12">
        <v>10700</v>
      </c>
      <c r="G318" s="12">
        <v>29100</v>
      </c>
      <c r="H318" s="43">
        <f t="shared" si="11"/>
        <v>18400</v>
      </c>
      <c r="I318" s="44">
        <f>IFERROR(VLOOKUP("CM-SHA 11-"&amp;C318,'[1]Light Weight'!B:C,2,0),"")</f>
        <v>10330</v>
      </c>
      <c r="J318" s="15">
        <v>18540</v>
      </c>
      <c r="K318" s="45">
        <f t="shared" si="7"/>
        <v>-140</v>
      </c>
      <c r="M318" s="18"/>
    </row>
    <row r="319" spans="1:13" x14ac:dyDescent="0.25">
      <c r="A319" s="16" t="s">
        <v>51</v>
      </c>
      <c r="B319" s="19" t="s">
        <v>26</v>
      </c>
      <c r="C319" s="12">
        <v>4411</v>
      </c>
      <c r="D319" s="42" t="s">
        <v>23</v>
      </c>
      <c r="E319" s="14">
        <v>22</v>
      </c>
      <c r="F319" s="12">
        <v>10700</v>
      </c>
      <c r="G319" s="12">
        <v>33100</v>
      </c>
      <c r="H319" s="43">
        <f t="shared" si="11"/>
        <v>22400</v>
      </c>
      <c r="I319" s="44">
        <f>IFERROR(VLOOKUP("CM-SHA 11-"&amp;C319,'[1]Light Weight'!B:C,2,0),"")</f>
        <v>10340</v>
      </c>
      <c r="J319" s="15">
        <v>22470</v>
      </c>
      <c r="K319" s="45">
        <f t="shared" si="7"/>
        <v>-70</v>
      </c>
      <c r="M319" s="18"/>
    </row>
    <row r="320" spans="1:13" x14ac:dyDescent="0.25">
      <c r="A320" s="16" t="s">
        <v>51</v>
      </c>
      <c r="B320" s="19" t="s">
        <v>26</v>
      </c>
      <c r="C320" s="12">
        <v>3931</v>
      </c>
      <c r="D320" s="42" t="s">
        <v>23</v>
      </c>
      <c r="E320" s="14">
        <v>22</v>
      </c>
      <c r="F320" s="12">
        <v>10800</v>
      </c>
      <c r="G320" s="12">
        <v>33000</v>
      </c>
      <c r="H320" s="43">
        <f t="shared" si="11"/>
        <v>22200</v>
      </c>
      <c r="I320" s="44">
        <f>IFERROR(VLOOKUP("CM-SHA 11-"&amp;C320,'[1]Light Weight'!B:C,2,0),"")</f>
        <v>10520</v>
      </c>
      <c r="J320" s="15">
        <v>22690</v>
      </c>
      <c r="K320" s="45">
        <f t="shared" si="7"/>
        <v>-490</v>
      </c>
      <c r="M320" s="18"/>
    </row>
    <row r="321" spans="1:13" x14ac:dyDescent="0.25">
      <c r="A321" s="16" t="s">
        <v>51</v>
      </c>
      <c r="B321" s="19" t="s">
        <v>26</v>
      </c>
      <c r="C321" s="12">
        <v>4404</v>
      </c>
      <c r="D321" s="42" t="s">
        <v>49</v>
      </c>
      <c r="E321" s="14">
        <v>23</v>
      </c>
      <c r="F321" s="12">
        <v>10900</v>
      </c>
      <c r="G321" s="12">
        <v>34000</v>
      </c>
      <c r="H321" s="43">
        <f t="shared" si="11"/>
        <v>23100</v>
      </c>
      <c r="I321" s="44">
        <f>IFERROR(VLOOKUP("CM-SHA 11-"&amp;C321,'[1]Light Weight'!B:C,2,0),"")</f>
        <v>10550</v>
      </c>
      <c r="J321" s="15">
        <v>23660</v>
      </c>
      <c r="K321" s="45">
        <f t="shared" si="7"/>
        <v>-560</v>
      </c>
      <c r="M321" s="18"/>
    </row>
    <row r="322" spans="1:13" x14ac:dyDescent="0.25">
      <c r="A322" s="16" t="s">
        <v>51</v>
      </c>
      <c r="B322" s="19" t="s">
        <v>26</v>
      </c>
      <c r="C322" s="12">
        <v>4113</v>
      </c>
      <c r="D322" s="42" t="s">
        <v>49</v>
      </c>
      <c r="E322" s="14">
        <v>23</v>
      </c>
      <c r="F322" s="12">
        <v>10900</v>
      </c>
      <c r="G322" s="12">
        <v>34200</v>
      </c>
      <c r="H322" s="43">
        <f t="shared" si="11"/>
        <v>23300</v>
      </c>
      <c r="I322" s="44">
        <f>IFERROR(VLOOKUP("CM-SHA 11-"&amp;C322,'[1]Light Weight'!B:C,2,0),"")</f>
        <v>10430</v>
      </c>
      <c r="J322" s="15">
        <v>23640</v>
      </c>
      <c r="K322" s="45">
        <f t="shared" si="7"/>
        <v>-340</v>
      </c>
      <c r="M322" s="18"/>
    </row>
    <row r="323" spans="1:13" x14ac:dyDescent="0.25">
      <c r="A323" s="16" t="s">
        <v>51</v>
      </c>
      <c r="B323" s="19" t="s">
        <v>27</v>
      </c>
      <c r="C323" s="12">
        <v>428</v>
      </c>
      <c r="D323" s="42" t="s">
        <v>23</v>
      </c>
      <c r="E323" s="14">
        <v>17</v>
      </c>
      <c r="F323" s="12">
        <v>12000</v>
      </c>
      <c r="G323" s="12">
        <v>29400</v>
      </c>
      <c r="H323" s="43">
        <f t="shared" si="11"/>
        <v>17400</v>
      </c>
      <c r="I323" s="44">
        <v>11900</v>
      </c>
      <c r="J323" s="15">
        <v>17410</v>
      </c>
      <c r="K323" s="45">
        <f t="shared" si="7"/>
        <v>-10</v>
      </c>
      <c r="M323" s="18"/>
    </row>
    <row r="324" spans="1:13" x14ac:dyDescent="0.25">
      <c r="A324" s="16"/>
      <c r="B324" s="19"/>
      <c r="C324" s="12"/>
      <c r="D324" s="42" t="s">
        <v>23</v>
      </c>
      <c r="E324" s="14"/>
      <c r="F324" s="12"/>
      <c r="G324" s="12"/>
      <c r="H324" s="43">
        <f t="shared" ref="H324:H419" si="13">G324-F324</f>
        <v>0</v>
      </c>
      <c r="I324" s="44" t="str">
        <f>IFERROR(VLOOKUP("CM-SHA 11-"&amp;C324,'[1]Light Weight'!B:C,2,0),"")</f>
        <v/>
      </c>
      <c r="J324" s="15"/>
      <c r="K324" s="45">
        <f t="shared" ref="K324:K419" si="14">SUM(H324-J324)</f>
        <v>0</v>
      </c>
      <c r="M324" s="18"/>
    </row>
    <row r="325" spans="1:13" x14ac:dyDescent="0.25">
      <c r="A325" s="16" t="s">
        <v>52</v>
      </c>
      <c r="B325" s="19">
        <v>1</v>
      </c>
      <c r="C325" s="12">
        <v>4404</v>
      </c>
      <c r="D325" s="42" t="s">
        <v>23</v>
      </c>
      <c r="E325" s="14">
        <v>18</v>
      </c>
      <c r="F325" s="12">
        <v>10900</v>
      </c>
      <c r="G325" s="12">
        <v>29300</v>
      </c>
      <c r="H325" s="43">
        <f t="shared" ref="H325:H344" si="15">G325-F325</f>
        <v>18400</v>
      </c>
      <c r="I325" s="44">
        <f>IFERROR(VLOOKUP("CM-SHA 11-"&amp;C325,'[1]Light Weight'!B:C,2,0),"")</f>
        <v>10550</v>
      </c>
      <c r="J325" s="15">
        <v>18550</v>
      </c>
      <c r="K325" s="45">
        <f t="shared" ref="K325:K344" si="16">SUM(H325-J325)</f>
        <v>-150</v>
      </c>
      <c r="M325" s="18"/>
    </row>
    <row r="326" spans="1:13" x14ac:dyDescent="0.25">
      <c r="A326" s="16" t="s">
        <v>52</v>
      </c>
      <c r="B326" s="19">
        <v>2</v>
      </c>
      <c r="C326" s="12">
        <v>4408</v>
      </c>
      <c r="D326" s="42" t="s">
        <v>23</v>
      </c>
      <c r="E326" s="14">
        <v>18</v>
      </c>
      <c r="F326" s="12">
        <v>11800</v>
      </c>
      <c r="G326" s="12">
        <v>29200</v>
      </c>
      <c r="H326" s="43">
        <f t="shared" si="15"/>
        <v>17400</v>
      </c>
      <c r="I326" s="44">
        <f>IFERROR(VLOOKUP("CM-SHA 11-"&amp;C326,'[1]Light Weight'!B:C,2,0),"")</f>
        <v>10420</v>
      </c>
      <c r="J326" s="15">
        <v>18740</v>
      </c>
      <c r="K326" s="45">
        <f t="shared" si="16"/>
        <v>-1340</v>
      </c>
      <c r="M326" s="18"/>
    </row>
    <row r="327" spans="1:13" x14ac:dyDescent="0.25">
      <c r="A327" s="16" t="s">
        <v>52</v>
      </c>
      <c r="B327" s="19">
        <v>3</v>
      </c>
      <c r="C327" s="12">
        <v>4410</v>
      </c>
      <c r="D327" s="42" t="s">
        <v>23</v>
      </c>
      <c r="E327" s="14">
        <v>22</v>
      </c>
      <c r="F327" s="12">
        <v>10700</v>
      </c>
      <c r="G327" s="12">
        <v>33100</v>
      </c>
      <c r="H327" s="43">
        <f t="shared" si="15"/>
        <v>22400</v>
      </c>
      <c r="I327" s="44">
        <f>IFERROR(VLOOKUP("CM-SHA 11-"&amp;C327,'[1]Light Weight'!B:C,2,0),"")</f>
        <v>10500</v>
      </c>
      <c r="J327" s="15">
        <v>22620</v>
      </c>
      <c r="K327" s="45">
        <f t="shared" si="16"/>
        <v>-220</v>
      </c>
      <c r="M327" s="18"/>
    </row>
    <row r="328" spans="1:13" x14ac:dyDescent="0.25">
      <c r="A328" s="16" t="s">
        <v>52</v>
      </c>
      <c r="B328" s="19">
        <v>4</v>
      </c>
      <c r="C328" s="12">
        <v>4402</v>
      </c>
      <c r="D328" s="42" t="s">
        <v>23</v>
      </c>
      <c r="E328" s="14">
        <v>22</v>
      </c>
      <c r="F328" s="12">
        <v>10800</v>
      </c>
      <c r="G328" s="12">
        <v>33100</v>
      </c>
      <c r="H328" s="43">
        <f t="shared" si="15"/>
        <v>22300</v>
      </c>
      <c r="I328" s="44">
        <f>IFERROR(VLOOKUP("CM-SHA 11-"&amp;C328,'[1]Light Weight'!B:C,2,0),"")</f>
        <v>10420</v>
      </c>
      <c r="J328" s="15">
        <v>22830</v>
      </c>
      <c r="K328" s="45">
        <f t="shared" si="16"/>
        <v>-530</v>
      </c>
      <c r="M328" s="18"/>
    </row>
    <row r="329" spans="1:13" x14ac:dyDescent="0.25">
      <c r="A329" s="16" t="s">
        <v>52</v>
      </c>
      <c r="B329" s="19">
        <v>5</v>
      </c>
      <c r="C329" s="12">
        <v>4411</v>
      </c>
      <c r="D329" s="42" t="s">
        <v>23</v>
      </c>
      <c r="E329" s="14">
        <v>22</v>
      </c>
      <c r="F329" s="12">
        <v>10700</v>
      </c>
      <c r="G329" s="12">
        <v>33200</v>
      </c>
      <c r="H329" s="43">
        <f t="shared" si="15"/>
        <v>22500</v>
      </c>
      <c r="I329" s="44">
        <f>IFERROR(VLOOKUP("CM-SHA 11-"&amp;C329,'[1]Light Weight'!B:C,2,0),"")</f>
        <v>10340</v>
      </c>
      <c r="J329" s="15">
        <v>22810</v>
      </c>
      <c r="K329" s="45">
        <f t="shared" si="16"/>
        <v>-310</v>
      </c>
      <c r="M329" s="18"/>
    </row>
    <row r="330" spans="1:13" x14ac:dyDescent="0.25">
      <c r="A330" s="16" t="s">
        <v>52</v>
      </c>
      <c r="B330" s="19">
        <v>6</v>
      </c>
      <c r="C330" s="12">
        <v>4112</v>
      </c>
      <c r="D330" s="42" t="s">
        <v>23</v>
      </c>
      <c r="E330" s="14">
        <v>22</v>
      </c>
      <c r="F330" s="12">
        <v>10700</v>
      </c>
      <c r="G330" s="12">
        <v>33100</v>
      </c>
      <c r="H330" s="43">
        <f t="shared" si="15"/>
        <v>22400</v>
      </c>
      <c r="I330" s="44">
        <f>IFERROR(VLOOKUP("CM-SHA 11-"&amp;C330,'[1]Light Weight'!B:C,2,0),"")</f>
        <v>10460</v>
      </c>
      <c r="J330" s="15">
        <v>22700</v>
      </c>
      <c r="K330" s="45">
        <f t="shared" si="16"/>
        <v>-300</v>
      </c>
      <c r="M330" s="18"/>
    </row>
    <row r="331" spans="1:13" x14ac:dyDescent="0.25">
      <c r="A331" s="16" t="s">
        <v>52</v>
      </c>
      <c r="B331" s="19">
        <v>7</v>
      </c>
      <c r="C331" s="12">
        <v>4114</v>
      </c>
      <c r="D331" s="42" t="s">
        <v>23</v>
      </c>
      <c r="E331" s="14">
        <v>22</v>
      </c>
      <c r="F331" s="12">
        <v>10800</v>
      </c>
      <c r="G331" s="12">
        <v>32900</v>
      </c>
      <c r="H331" s="43">
        <f t="shared" si="15"/>
        <v>22100</v>
      </c>
      <c r="I331" s="44">
        <f>IFERROR(VLOOKUP("CM-SHA 11-"&amp;C331,'[1]Light Weight'!B:C,2,0),"")</f>
        <v>10550</v>
      </c>
      <c r="J331" s="15">
        <v>22330</v>
      </c>
      <c r="K331" s="45">
        <f t="shared" si="16"/>
        <v>-230</v>
      </c>
      <c r="M331" s="18"/>
    </row>
    <row r="332" spans="1:13" x14ac:dyDescent="0.25">
      <c r="A332" s="16" t="s">
        <v>52</v>
      </c>
      <c r="B332" s="19">
        <v>8</v>
      </c>
      <c r="C332" s="12">
        <v>4416</v>
      </c>
      <c r="D332" s="42" t="s">
        <v>23</v>
      </c>
      <c r="E332" s="14">
        <v>22</v>
      </c>
      <c r="F332" s="12">
        <v>10600</v>
      </c>
      <c r="G332" s="12">
        <v>31000</v>
      </c>
      <c r="H332" s="43">
        <f t="shared" si="15"/>
        <v>20400</v>
      </c>
      <c r="I332" s="44">
        <v>10390</v>
      </c>
      <c r="J332" s="15">
        <v>22670</v>
      </c>
      <c r="K332" s="45">
        <f t="shared" si="16"/>
        <v>-2270</v>
      </c>
      <c r="M332" s="18"/>
    </row>
    <row r="333" spans="1:13" x14ac:dyDescent="0.25">
      <c r="A333" s="16" t="s">
        <v>52</v>
      </c>
      <c r="B333" s="19">
        <v>9</v>
      </c>
      <c r="C333" s="12">
        <v>4115</v>
      </c>
      <c r="D333" s="42" t="s">
        <v>23</v>
      </c>
      <c r="E333" s="14">
        <v>22</v>
      </c>
      <c r="F333" s="12">
        <v>10800</v>
      </c>
      <c r="G333" s="12">
        <v>33000</v>
      </c>
      <c r="H333" s="43">
        <f t="shared" si="15"/>
        <v>22200</v>
      </c>
      <c r="I333" s="44">
        <f>IFERROR(VLOOKUP("CM-SHA 11-"&amp;C333,'[1]Light Weight'!B:C,2,0),"")</f>
        <v>10460</v>
      </c>
      <c r="J333" s="15">
        <v>22580</v>
      </c>
      <c r="K333" s="45">
        <f t="shared" si="16"/>
        <v>-380</v>
      </c>
      <c r="M333" s="18"/>
    </row>
    <row r="334" spans="1:13" x14ac:dyDescent="0.25">
      <c r="A334" s="16" t="s">
        <v>52</v>
      </c>
      <c r="B334" s="19">
        <v>10</v>
      </c>
      <c r="C334" s="12">
        <v>4113</v>
      </c>
      <c r="D334" s="42" t="s">
        <v>23</v>
      </c>
      <c r="E334" s="14">
        <v>22</v>
      </c>
      <c r="F334" s="12">
        <v>10600</v>
      </c>
      <c r="G334" s="12">
        <v>33000</v>
      </c>
      <c r="H334" s="43">
        <f t="shared" si="15"/>
        <v>22400</v>
      </c>
      <c r="I334" s="44">
        <f>IFERROR(VLOOKUP("CM-SHA 11-"&amp;C334,'[1]Light Weight'!B:C,2,0),"")</f>
        <v>10430</v>
      </c>
      <c r="J334" s="15">
        <v>22620</v>
      </c>
      <c r="K334" s="45">
        <f t="shared" si="16"/>
        <v>-220</v>
      </c>
      <c r="M334" s="18"/>
    </row>
    <row r="335" spans="1:13" x14ac:dyDescent="0.25">
      <c r="A335" s="16" t="s">
        <v>52</v>
      </c>
      <c r="B335" s="19">
        <v>11</v>
      </c>
      <c r="C335" s="12">
        <v>4407</v>
      </c>
      <c r="D335" s="42" t="s">
        <v>23</v>
      </c>
      <c r="E335" s="14">
        <v>22</v>
      </c>
      <c r="F335" s="12">
        <v>10800</v>
      </c>
      <c r="G335" s="12">
        <v>32900</v>
      </c>
      <c r="H335" s="43">
        <f t="shared" si="15"/>
        <v>22100</v>
      </c>
      <c r="I335" s="44">
        <f>IFERROR(VLOOKUP("CM-SHA 11-"&amp;C335,'[1]Light Weight'!B:C,2,0),"")</f>
        <v>10420</v>
      </c>
      <c r="J335" s="15">
        <v>22340</v>
      </c>
      <c r="K335" s="45">
        <f t="shared" si="16"/>
        <v>-240</v>
      </c>
      <c r="M335" s="18"/>
    </row>
    <row r="336" spans="1:13" x14ac:dyDescent="0.25">
      <c r="A336" s="16" t="s">
        <v>52</v>
      </c>
      <c r="B336" s="19">
        <v>12</v>
      </c>
      <c r="C336" s="12">
        <v>4406</v>
      </c>
      <c r="D336" s="42" t="s">
        <v>23</v>
      </c>
      <c r="E336" s="14">
        <v>22</v>
      </c>
      <c r="F336" s="12">
        <v>10700</v>
      </c>
      <c r="G336" s="12">
        <v>33100</v>
      </c>
      <c r="H336" s="43">
        <f t="shared" si="15"/>
        <v>22400</v>
      </c>
      <c r="I336" s="44">
        <f>IFERROR(VLOOKUP("CM-SHA 11-"&amp;C336,'[1]Light Weight'!B:C,2,0),"")</f>
        <v>10440</v>
      </c>
      <c r="J336" s="15">
        <v>22670</v>
      </c>
      <c r="K336" s="45">
        <f t="shared" si="16"/>
        <v>-270</v>
      </c>
      <c r="M336" s="18"/>
    </row>
    <row r="337" spans="1:13" x14ac:dyDescent="0.25">
      <c r="A337" s="16" t="s">
        <v>52</v>
      </c>
      <c r="B337" s="19">
        <v>13</v>
      </c>
      <c r="C337" s="12">
        <v>428</v>
      </c>
      <c r="D337" s="42" t="s">
        <v>23</v>
      </c>
      <c r="E337" s="14">
        <v>17</v>
      </c>
      <c r="F337" s="12">
        <v>12000</v>
      </c>
      <c r="G337" s="12">
        <v>29300</v>
      </c>
      <c r="H337" s="43">
        <f t="shared" si="15"/>
        <v>17300</v>
      </c>
      <c r="I337" s="44">
        <v>11900</v>
      </c>
      <c r="J337" s="15">
        <v>17530</v>
      </c>
      <c r="K337" s="45">
        <f t="shared" si="16"/>
        <v>-230</v>
      </c>
      <c r="M337" s="18"/>
    </row>
    <row r="338" spans="1:13" x14ac:dyDescent="0.25">
      <c r="A338" s="16"/>
      <c r="B338" s="19"/>
      <c r="C338" s="12"/>
      <c r="D338" s="42" t="s">
        <v>23</v>
      </c>
      <c r="E338" s="14"/>
      <c r="F338" s="12"/>
      <c r="G338" s="12"/>
      <c r="H338" s="43">
        <f t="shared" si="15"/>
        <v>0</v>
      </c>
      <c r="I338" s="44" t="str">
        <f>IFERROR(VLOOKUP("CM-SHA 11-"&amp;C338,'[1]Light Weight'!B:C,2,0),"")</f>
        <v/>
      </c>
      <c r="J338" s="15"/>
      <c r="K338" s="45">
        <f t="shared" si="16"/>
        <v>0</v>
      </c>
      <c r="M338" s="18"/>
    </row>
    <row r="339" spans="1:13" x14ac:dyDescent="0.25">
      <c r="A339" s="16" t="s">
        <v>53</v>
      </c>
      <c r="B339" s="19" t="s">
        <v>25</v>
      </c>
      <c r="C339" s="12">
        <v>4408</v>
      </c>
      <c r="D339" s="42" t="s">
        <v>23</v>
      </c>
      <c r="E339" s="14">
        <v>23</v>
      </c>
      <c r="F339" s="12">
        <v>10700</v>
      </c>
      <c r="G339" s="12">
        <v>34000</v>
      </c>
      <c r="H339" s="43">
        <f t="shared" si="15"/>
        <v>23300</v>
      </c>
      <c r="I339" s="44">
        <f>IFERROR(VLOOKUP("CM-SHA 11-"&amp;C339,'[1]Light Weight'!B:C,2,0),"")</f>
        <v>10420</v>
      </c>
      <c r="J339" s="15">
        <v>23590</v>
      </c>
      <c r="K339" s="45">
        <f t="shared" si="16"/>
        <v>-290</v>
      </c>
      <c r="M339" s="18"/>
    </row>
    <row r="340" spans="1:13" x14ac:dyDescent="0.25">
      <c r="A340" s="16" t="s">
        <v>53</v>
      </c>
      <c r="B340" s="19" t="s">
        <v>26</v>
      </c>
      <c r="C340" s="12">
        <v>3932</v>
      </c>
      <c r="D340" s="42" t="s">
        <v>49</v>
      </c>
      <c r="E340" s="14">
        <v>23</v>
      </c>
      <c r="F340" s="12">
        <v>10700</v>
      </c>
      <c r="G340" s="12">
        <v>34200</v>
      </c>
      <c r="H340" s="43">
        <f t="shared" si="15"/>
        <v>23500</v>
      </c>
      <c r="I340" s="44">
        <f>IFERROR(VLOOKUP("CM-SHA 11-"&amp;C340,'[1]Light Weight'!B:C,2,0),"")</f>
        <v>10360</v>
      </c>
      <c r="J340" s="15">
        <v>23550</v>
      </c>
      <c r="K340" s="45">
        <f t="shared" si="16"/>
        <v>-50</v>
      </c>
      <c r="M340" s="18"/>
    </row>
    <row r="341" spans="1:13" x14ac:dyDescent="0.25">
      <c r="A341" s="16" t="s">
        <v>53</v>
      </c>
      <c r="B341" s="19" t="s">
        <v>27</v>
      </c>
      <c r="C341" s="12">
        <v>3931</v>
      </c>
      <c r="D341" s="42" t="s">
        <v>49</v>
      </c>
      <c r="E341" s="14">
        <v>23</v>
      </c>
      <c r="F341" s="12">
        <v>10800</v>
      </c>
      <c r="G341" s="12">
        <v>34200</v>
      </c>
      <c r="H341" s="43">
        <f t="shared" si="15"/>
        <v>23400</v>
      </c>
      <c r="I341" s="44">
        <f>IFERROR(VLOOKUP("CM-SHA 11-"&amp;C341,'[1]Light Weight'!B:C,2,0),"")</f>
        <v>10520</v>
      </c>
      <c r="J341" s="15">
        <v>23640</v>
      </c>
      <c r="K341" s="45">
        <f t="shared" si="16"/>
        <v>-240</v>
      </c>
      <c r="M341" s="18"/>
    </row>
    <row r="342" spans="1:13" x14ac:dyDescent="0.25">
      <c r="A342" s="16" t="s">
        <v>53</v>
      </c>
      <c r="B342" s="19" t="s">
        <v>27</v>
      </c>
      <c r="C342" s="12">
        <v>4405</v>
      </c>
      <c r="D342" s="42" t="s">
        <v>49</v>
      </c>
      <c r="E342" s="14">
        <v>23</v>
      </c>
      <c r="F342" s="12">
        <v>10800</v>
      </c>
      <c r="G342" s="12">
        <v>34000</v>
      </c>
      <c r="H342" s="43">
        <f t="shared" si="15"/>
        <v>23200</v>
      </c>
      <c r="I342" s="44">
        <f>IFERROR(VLOOKUP("CM-SHA 11-"&amp;C342,'[1]Light Weight'!B:C,2,0),"")</f>
        <v>10380</v>
      </c>
      <c r="J342" s="15">
        <v>23680</v>
      </c>
      <c r="K342" s="45">
        <f t="shared" si="16"/>
        <v>-480</v>
      </c>
      <c r="M342" s="18"/>
    </row>
    <row r="343" spans="1:13" x14ac:dyDescent="0.25">
      <c r="A343" s="16" t="s">
        <v>53</v>
      </c>
      <c r="B343" s="19" t="s">
        <v>27</v>
      </c>
      <c r="C343" s="12">
        <v>4413</v>
      </c>
      <c r="D343" s="42" t="s">
        <v>49</v>
      </c>
      <c r="E343" s="14">
        <v>23</v>
      </c>
      <c r="F343" s="12">
        <v>10700</v>
      </c>
      <c r="G343" s="12">
        <v>33900</v>
      </c>
      <c r="H343" s="43">
        <f t="shared" si="15"/>
        <v>23200</v>
      </c>
      <c r="I343" s="44">
        <f>IFERROR(VLOOKUP("CM-SHA 11-"&amp;C343,'[1]Light Weight'!B:C,2,0),"")</f>
        <v>10380</v>
      </c>
      <c r="J343" s="15">
        <v>23560</v>
      </c>
      <c r="K343" s="45">
        <f t="shared" si="16"/>
        <v>-360</v>
      </c>
      <c r="M343" s="18"/>
    </row>
    <row r="344" spans="1:13" x14ac:dyDescent="0.25">
      <c r="A344" s="16" t="s">
        <v>53</v>
      </c>
      <c r="B344" s="19" t="s">
        <v>27</v>
      </c>
      <c r="C344" s="12">
        <v>4414</v>
      </c>
      <c r="D344" s="42" t="s">
        <v>49</v>
      </c>
      <c r="E344" s="14">
        <v>23</v>
      </c>
      <c r="F344" s="12">
        <v>10800</v>
      </c>
      <c r="G344" s="12">
        <v>33900</v>
      </c>
      <c r="H344" s="43">
        <f t="shared" si="15"/>
        <v>23100</v>
      </c>
      <c r="I344" s="44">
        <f>IFERROR(VLOOKUP("CM-SHA 11-"&amp;C344,'[1]Light Weight'!B:C,2,0),"")</f>
        <v>10400</v>
      </c>
      <c r="J344" s="15">
        <v>23460</v>
      </c>
      <c r="K344" s="45">
        <f t="shared" si="16"/>
        <v>-360</v>
      </c>
      <c r="M344" s="18"/>
    </row>
    <row r="345" spans="1:13" x14ac:dyDescent="0.25">
      <c r="A345" s="16" t="s">
        <v>53</v>
      </c>
      <c r="B345" s="19" t="s">
        <v>27</v>
      </c>
      <c r="C345" s="12">
        <v>4415</v>
      </c>
      <c r="D345" s="42" t="s">
        <v>49</v>
      </c>
      <c r="E345" s="14">
        <v>23</v>
      </c>
      <c r="F345" s="12">
        <v>10800</v>
      </c>
      <c r="G345" s="12">
        <v>34000</v>
      </c>
      <c r="H345" s="43">
        <f t="shared" si="13"/>
        <v>23200</v>
      </c>
      <c r="I345" s="44">
        <f>IFERROR(VLOOKUP("CM-SHA 11-"&amp;C345,'[1]Light Weight'!B:C,2,0),"")</f>
        <v>10430</v>
      </c>
      <c r="J345" s="15">
        <v>23510</v>
      </c>
      <c r="K345" s="45">
        <f t="shared" si="14"/>
        <v>-310</v>
      </c>
      <c r="M345" s="18"/>
    </row>
    <row r="346" spans="1:13" x14ac:dyDescent="0.25">
      <c r="A346" s="16" t="s">
        <v>53</v>
      </c>
      <c r="B346" s="19" t="s">
        <v>27</v>
      </c>
      <c r="C346" s="12">
        <v>2322</v>
      </c>
      <c r="D346" s="42" t="s">
        <v>23</v>
      </c>
      <c r="E346" s="14">
        <v>24</v>
      </c>
      <c r="F346" s="12">
        <v>12400</v>
      </c>
      <c r="G346" s="12">
        <v>37100</v>
      </c>
      <c r="H346" s="43">
        <f t="shared" si="13"/>
        <v>24700</v>
      </c>
      <c r="I346" s="44">
        <v>12080</v>
      </c>
      <c r="J346" s="15">
        <v>24940</v>
      </c>
      <c r="K346" s="45">
        <f t="shared" si="14"/>
        <v>-240</v>
      </c>
      <c r="M346" s="18"/>
    </row>
    <row r="347" spans="1:13" x14ac:dyDescent="0.25">
      <c r="A347" s="16" t="s">
        <v>53</v>
      </c>
      <c r="B347" s="19" t="s">
        <v>26</v>
      </c>
      <c r="C347" s="12">
        <v>4408</v>
      </c>
      <c r="D347" s="42" t="s">
        <v>23</v>
      </c>
      <c r="E347" s="14">
        <v>22</v>
      </c>
      <c r="F347" s="12">
        <v>10700</v>
      </c>
      <c r="G347" s="12">
        <v>33000</v>
      </c>
      <c r="H347" s="43">
        <f t="shared" si="13"/>
        <v>22300</v>
      </c>
      <c r="I347" s="44">
        <f>IFERROR(VLOOKUP("CM-SHA 11-"&amp;C347,'[1]Light Weight'!B:C,2,0),"")</f>
        <v>10420</v>
      </c>
      <c r="J347" s="15">
        <v>22490</v>
      </c>
      <c r="K347" s="45">
        <f t="shared" si="14"/>
        <v>-190</v>
      </c>
      <c r="M347" s="18"/>
    </row>
    <row r="348" spans="1:13" x14ac:dyDescent="0.25">
      <c r="A348" s="16" t="s">
        <v>53</v>
      </c>
      <c r="B348" s="19" t="s">
        <v>27</v>
      </c>
      <c r="C348" s="12">
        <v>4403</v>
      </c>
      <c r="D348" s="42" t="s">
        <v>23</v>
      </c>
      <c r="E348" s="14">
        <v>22</v>
      </c>
      <c r="F348" s="12">
        <v>10600</v>
      </c>
      <c r="G348" s="12">
        <v>32900</v>
      </c>
      <c r="H348" s="43">
        <f t="shared" si="13"/>
        <v>22300</v>
      </c>
      <c r="I348" s="44">
        <f>IFERROR(VLOOKUP("CM-SHA 11-"&amp;C348,'[1]Light Weight'!B:C,2,0),"")</f>
        <v>10480</v>
      </c>
      <c r="J348" s="15">
        <v>22680</v>
      </c>
      <c r="K348" s="45">
        <f t="shared" si="14"/>
        <v>-380</v>
      </c>
      <c r="M348" s="18"/>
    </row>
    <row r="349" spans="1:13" x14ac:dyDescent="0.25">
      <c r="A349" s="16" t="s">
        <v>53</v>
      </c>
      <c r="B349" s="19" t="s">
        <v>27</v>
      </c>
      <c r="C349" s="12">
        <v>4412</v>
      </c>
      <c r="D349" s="42" t="s">
        <v>23</v>
      </c>
      <c r="E349" s="14">
        <v>22</v>
      </c>
      <c r="F349" s="12">
        <v>10700</v>
      </c>
      <c r="G349" s="12">
        <v>32900</v>
      </c>
      <c r="H349" s="43">
        <f t="shared" si="13"/>
        <v>22200</v>
      </c>
      <c r="I349" s="44">
        <f>IFERROR(VLOOKUP("CM-SHA 11-"&amp;C349,'[1]Light Weight'!B:C,2,0),"")</f>
        <v>10330</v>
      </c>
      <c r="J349" s="15">
        <v>22590</v>
      </c>
      <c r="K349" s="45">
        <f t="shared" si="14"/>
        <v>-390</v>
      </c>
      <c r="M349" s="18"/>
    </row>
    <row r="350" spans="1:13" x14ac:dyDescent="0.25">
      <c r="A350" s="16" t="s">
        <v>53</v>
      </c>
      <c r="B350" s="19" t="s">
        <v>27</v>
      </c>
      <c r="C350" s="12">
        <v>4404</v>
      </c>
      <c r="D350" s="42" t="s">
        <v>23</v>
      </c>
      <c r="E350" s="14">
        <v>22</v>
      </c>
      <c r="F350" s="12">
        <v>11000</v>
      </c>
      <c r="G350" s="12">
        <v>33200</v>
      </c>
      <c r="H350" s="43">
        <f t="shared" si="13"/>
        <v>22200</v>
      </c>
      <c r="I350" s="44">
        <f>IFERROR(VLOOKUP("CM-SHA 11-"&amp;C350,'[1]Light Weight'!B:C,2,0),"")</f>
        <v>10550</v>
      </c>
      <c r="J350" s="15">
        <v>22520</v>
      </c>
      <c r="K350" s="45">
        <f t="shared" si="14"/>
        <v>-320</v>
      </c>
      <c r="M350" s="18"/>
    </row>
    <row r="351" spans="1:13" x14ac:dyDescent="0.25">
      <c r="A351" s="16" t="s">
        <v>53</v>
      </c>
      <c r="B351" s="19" t="s">
        <v>27</v>
      </c>
      <c r="C351" s="12">
        <v>4409</v>
      </c>
      <c r="D351" s="42" t="s">
        <v>23</v>
      </c>
      <c r="E351" s="14">
        <v>22</v>
      </c>
      <c r="F351" s="12">
        <v>10800</v>
      </c>
      <c r="G351" s="12">
        <v>32900</v>
      </c>
      <c r="H351" s="43">
        <f t="shared" si="13"/>
        <v>22100</v>
      </c>
      <c r="I351" s="44">
        <f>IFERROR(VLOOKUP("CM-SHA 11-"&amp;C351,'[1]Light Weight'!B:C,2,0),"")</f>
        <v>10450</v>
      </c>
      <c r="J351" s="15">
        <v>22530</v>
      </c>
      <c r="K351" s="45">
        <f t="shared" si="14"/>
        <v>-430</v>
      </c>
      <c r="M351" s="18"/>
    </row>
    <row r="352" spans="1:13" x14ac:dyDescent="0.25">
      <c r="A352" s="16" t="s">
        <v>53</v>
      </c>
      <c r="B352" s="19" t="s">
        <v>27</v>
      </c>
      <c r="C352" s="12">
        <v>3933</v>
      </c>
      <c r="D352" s="42" t="s">
        <v>23</v>
      </c>
      <c r="E352" s="14">
        <v>22</v>
      </c>
      <c r="F352" s="12">
        <v>10700</v>
      </c>
      <c r="G352" s="12">
        <v>33000</v>
      </c>
      <c r="H352" s="43">
        <f t="shared" si="13"/>
        <v>22300</v>
      </c>
      <c r="I352" s="44">
        <f>IFERROR(VLOOKUP("CM-SHA 11-"&amp;C352,'[1]Light Weight'!B:C,2,0),"")</f>
        <v>10410</v>
      </c>
      <c r="J352" s="15">
        <v>22710</v>
      </c>
      <c r="K352" s="45">
        <f t="shared" si="14"/>
        <v>-410</v>
      </c>
      <c r="M352" s="18"/>
    </row>
    <row r="353" spans="1:13" x14ac:dyDescent="0.25">
      <c r="A353" s="16" t="s">
        <v>53</v>
      </c>
      <c r="B353" s="19" t="s">
        <v>27</v>
      </c>
      <c r="C353" s="12">
        <v>4406</v>
      </c>
      <c r="D353" s="42" t="s">
        <v>49</v>
      </c>
      <c r="E353" s="14">
        <v>18</v>
      </c>
      <c r="F353" s="12">
        <v>10800</v>
      </c>
      <c r="G353" s="12">
        <v>28900</v>
      </c>
      <c r="H353" s="43">
        <f t="shared" si="13"/>
        <v>18100</v>
      </c>
      <c r="I353" s="44">
        <f>IFERROR(VLOOKUP("CM-SHA 11-"&amp;C353,'[1]Light Weight'!B:C,2,0),"")</f>
        <v>10440</v>
      </c>
      <c r="J353" s="15">
        <v>18470</v>
      </c>
      <c r="K353" s="45">
        <f t="shared" si="14"/>
        <v>-370</v>
      </c>
      <c r="M353" s="18"/>
    </row>
    <row r="354" spans="1:13" x14ac:dyDescent="0.25">
      <c r="A354" s="16" t="s">
        <v>53</v>
      </c>
      <c r="B354" s="19" t="s">
        <v>27</v>
      </c>
      <c r="C354" s="12">
        <v>4114</v>
      </c>
      <c r="D354" s="42" t="s">
        <v>49</v>
      </c>
      <c r="E354" s="14">
        <v>18</v>
      </c>
      <c r="F354" s="12">
        <v>10900</v>
      </c>
      <c r="G354" s="12">
        <v>29100</v>
      </c>
      <c r="H354" s="43">
        <f t="shared" si="13"/>
        <v>18200</v>
      </c>
      <c r="I354" s="44">
        <f>IFERROR(VLOOKUP("CM-SHA 11-"&amp;C354,'[1]Light Weight'!B:C,2,0),"")</f>
        <v>10550</v>
      </c>
      <c r="J354" s="15">
        <v>18260</v>
      </c>
      <c r="K354" s="45">
        <f t="shared" si="14"/>
        <v>-60</v>
      </c>
      <c r="M354" s="18"/>
    </row>
    <row r="355" spans="1:13" x14ac:dyDescent="0.25">
      <c r="A355" s="16" t="s">
        <v>53</v>
      </c>
      <c r="B355" s="19" t="s">
        <v>27</v>
      </c>
      <c r="C355" s="12">
        <v>2322</v>
      </c>
      <c r="D355" s="42" t="s">
        <v>23</v>
      </c>
      <c r="E355" s="14">
        <v>24</v>
      </c>
      <c r="F355" s="12">
        <v>12300</v>
      </c>
      <c r="G355" s="12">
        <v>36900</v>
      </c>
      <c r="H355" s="43">
        <f t="shared" si="13"/>
        <v>24600</v>
      </c>
      <c r="I355" s="44">
        <v>12120</v>
      </c>
      <c r="J355" s="15">
        <v>24730</v>
      </c>
      <c r="K355" s="45">
        <f t="shared" si="14"/>
        <v>-130</v>
      </c>
      <c r="M355" s="18"/>
    </row>
    <row r="356" spans="1:13" x14ac:dyDescent="0.25">
      <c r="A356" s="16" t="s">
        <v>53</v>
      </c>
      <c r="B356" s="19" t="s">
        <v>27</v>
      </c>
      <c r="C356" s="12">
        <v>428</v>
      </c>
      <c r="D356" s="42" t="s">
        <v>23</v>
      </c>
      <c r="E356" s="14">
        <v>17</v>
      </c>
      <c r="F356" s="12">
        <v>12000</v>
      </c>
      <c r="G356" s="12">
        <v>29400</v>
      </c>
      <c r="H356" s="43">
        <f t="shared" si="13"/>
        <v>17400</v>
      </c>
      <c r="I356" s="44">
        <v>11830</v>
      </c>
      <c r="J356" s="15">
        <v>17510</v>
      </c>
      <c r="K356" s="45">
        <f t="shared" si="14"/>
        <v>-110</v>
      </c>
      <c r="M356" s="18"/>
    </row>
    <row r="357" spans="1:13" x14ac:dyDescent="0.25">
      <c r="A357" s="16" t="s">
        <v>53</v>
      </c>
      <c r="B357" s="19" t="s">
        <v>27</v>
      </c>
      <c r="C357" s="12">
        <v>4411</v>
      </c>
      <c r="D357" s="42" t="s">
        <v>23</v>
      </c>
      <c r="E357" s="14">
        <v>22</v>
      </c>
      <c r="F357" s="12">
        <v>10700</v>
      </c>
      <c r="G357" s="12">
        <v>32900</v>
      </c>
      <c r="H357" s="43">
        <f t="shared" si="13"/>
        <v>22200</v>
      </c>
      <c r="I357" s="44">
        <f>IFERROR(VLOOKUP("CM-SHA 11-"&amp;C357,'[1]Light Weight'!B:C,2,0),"")</f>
        <v>10340</v>
      </c>
      <c r="J357" s="15">
        <v>22460</v>
      </c>
      <c r="K357" s="45">
        <f t="shared" si="14"/>
        <v>-260</v>
      </c>
      <c r="M357" s="18"/>
    </row>
    <row r="358" spans="1:13" x14ac:dyDescent="0.25">
      <c r="A358" s="16" t="s">
        <v>53</v>
      </c>
      <c r="B358" s="19" t="s">
        <v>27</v>
      </c>
      <c r="C358" s="12">
        <v>4407</v>
      </c>
      <c r="D358" s="42" t="s">
        <v>49</v>
      </c>
      <c r="E358" s="14">
        <v>18</v>
      </c>
      <c r="F358" s="12">
        <v>11000</v>
      </c>
      <c r="G358" s="12">
        <v>29100</v>
      </c>
      <c r="H358" s="43">
        <f t="shared" si="13"/>
        <v>18100</v>
      </c>
      <c r="I358" s="44">
        <f>IFERROR(VLOOKUP("CM-SHA 11-"&amp;C358,'[1]Light Weight'!B:C,2,0),"")</f>
        <v>10420</v>
      </c>
      <c r="J358" s="15">
        <v>18350</v>
      </c>
      <c r="K358" s="45">
        <f t="shared" si="14"/>
        <v>-250</v>
      </c>
      <c r="M358" s="18"/>
    </row>
    <row r="359" spans="1:13" x14ac:dyDescent="0.25">
      <c r="A359" s="16" t="s">
        <v>53</v>
      </c>
      <c r="B359" s="19" t="s">
        <v>27</v>
      </c>
      <c r="C359" s="12">
        <v>4416</v>
      </c>
      <c r="D359" s="42" t="s">
        <v>49</v>
      </c>
      <c r="E359" s="14">
        <v>18</v>
      </c>
      <c r="F359" s="12">
        <v>10800</v>
      </c>
      <c r="G359" s="12">
        <v>29100</v>
      </c>
      <c r="H359" s="43">
        <f t="shared" si="13"/>
        <v>18300</v>
      </c>
      <c r="I359" s="44">
        <v>10390</v>
      </c>
      <c r="J359" s="15">
        <v>18480</v>
      </c>
      <c r="K359" s="45">
        <f t="shared" si="14"/>
        <v>-180</v>
      </c>
      <c r="M359" s="18"/>
    </row>
    <row r="360" spans="1:13" x14ac:dyDescent="0.25">
      <c r="A360" s="16" t="s">
        <v>53</v>
      </c>
      <c r="B360" s="19" t="s">
        <v>27</v>
      </c>
      <c r="C360" s="12">
        <v>4115</v>
      </c>
      <c r="D360" s="42" t="s">
        <v>49</v>
      </c>
      <c r="E360" s="14">
        <v>18</v>
      </c>
      <c r="F360" s="12">
        <v>10900</v>
      </c>
      <c r="G360" s="12">
        <v>29000</v>
      </c>
      <c r="H360" s="43">
        <f t="shared" si="13"/>
        <v>18100</v>
      </c>
      <c r="I360" s="44">
        <f>IFERROR(VLOOKUP("CM-SHA 11-"&amp;C360,'[1]Light Weight'!B:C,2,0),"")</f>
        <v>10460</v>
      </c>
      <c r="J360" s="15">
        <v>18280</v>
      </c>
      <c r="K360" s="45">
        <f t="shared" si="14"/>
        <v>-180</v>
      </c>
      <c r="M360" s="18"/>
    </row>
    <row r="361" spans="1:13" x14ac:dyDescent="0.25">
      <c r="A361" s="16" t="s">
        <v>53</v>
      </c>
      <c r="B361" s="19" t="s">
        <v>27</v>
      </c>
      <c r="C361" s="12">
        <v>4113</v>
      </c>
      <c r="D361" s="42" t="s">
        <v>23</v>
      </c>
      <c r="E361" s="14">
        <v>22</v>
      </c>
      <c r="F361" s="12">
        <v>10600</v>
      </c>
      <c r="G361" s="12">
        <v>33000</v>
      </c>
      <c r="H361" s="43">
        <f t="shared" si="13"/>
        <v>22400</v>
      </c>
      <c r="I361" s="44">
        <f>IFERROR(VLOOKUP("CM-SHA 11-"&amp;C361,'[1]Light Weight'!B:C,2,0),"")</f>
        <v>10430</v>
      </c>
      <c r="J361" s="15">
        <v>22640</v>
      </c>
      <c r="K361" s="45">
        <f t="shared" si="14"/>
        <v>-240</v>
      </c>
      <c r="M361" s="18"/>
    </row>
    <row r="362" spans="1:13" x14ac:dyDescent="0.25">
      <c r="A362" s="16" t="s">
        <v>53</v>
      </c>
      <c r="B362" s="19" t="s">
        <v>27</v>
      </c>
      <c r="C362" s="12">
        <v>4402</v>
      </c>
      <c r="D362" s="42" t="s">
        <v>23</v>
      </c>
      <c r="E362" s="14">
        <v>22</v>
      </c>
      <c r="F362" s="12">
        <v>10700</v>
      </c>
      <c r="G362" s="12">
        <v>32900</v>
      </c>
      <c r="H362" s="43">
        <f t="shared" si="13"/>
        <v>22200</v>
      </c>
      <c r="I362" s="44">
        <f>IFERROR(VLOOKUP("CM-SHA 11-"&amp;C362,'[1]Light Weight'!B:C,2,0),"")</f>
        <v>10420</v>
      </c>
      <c r="J362" s="15">
        <v>22620</v>
      </c>
      <c r="K362" s="45">
        <f t="shared" si="14"/>
        <v>-420</v>
      </c>
      <c r="M362" s="18"/>
    </row>
    <row r="363" spans="1:13" x14ac:dyDescent="0.25">
      <c r="A363" s="16" t="s">
        <v>53</v>
      </c>
      <c r="B363" s="19" t="s">
        <v>27</v>
      </c>
      <c r="C363" s="12">
        <v>4410</v>
      </c>
      <c r="D363" s="42" t="s">
        <v>23</v>
      </c>
      <c r="E363" s="14">
        <v>22</v>
      </c>
      <c r="F363" s="12">
        <v>10800</v>
      </c>
      <c r="G363" s="12">
        <v>32900</v>
      </c>
      <c r="H363" s="43">
        <f t="shared" si="13"/>
        <v>22100</v>
      </c>
      <c r="I363" s="44">
        <f>IFERROR(VLOOKUP("CM-SHA 11-"&amp;C363,'[1]Light Weight'!B:C,2,0),"")</f>
        <v>10500</v>
      </c>
      <c r="J363" s="15">
        <v>22440</v>
      </c>
      <c r="K363" s="45">
        <f t="shared" si="14"/>
        <v>-340</v>
      </c>
      <c r="M363" s="18"/>
    </row>
    <row r="364" spans="1:13" x14ac:dyDescent="0.25">
      <c r="A364" s="16" t="s">
        <v>53</v>
      </c>
      <c r="B364" s="19" t="s">
        <v>27</v>
      </c>
      <c r="C364" s="12">
        <v>4112</v>
      </c>
      <c r="D364" s="42" t="s">
        <v>23</v>
      </c>
      <c r="E364" s="14">
        <v>22</v>
      </c>
      <c r="F364" s="12">
        <v>10700</v>
      </c>
      <c r="G364" s="12">
        <v>32900</v>
      </c>
      <c r="H364" s="43">
        <f t="shared" si="13"/>
        <v>22200</v>
      </c>
      <c r="I364" s="44">
        <f>IFERROR(VLOOKUP("CM-SHA 11-"&amp;C364,'[1]Light Weight'!B:C,2,0),"")</f>
        <v>10460</v>
      </c>
      <c r="J364" s="15">
        <v>22500</v>
      </c>
      <c r="K364" s="45">
        <f t="shared" si="14"/>
        <v>-300</v>
      </c>
      <c r="M364" s="18"/>
    </row>
    <row r="365" spans="1:13" x14ac:dyDescent="0.25">
      <c r="A365" s="16" t="s">
        <v>53</v>
      </c>
      <c r="B365" s="19" t="s">
        <v>27</v>
      </c>
      <c r="C365" s="12">
        <v>3929</v>
      </c>
      <c r="D365" s="42" t="s">
        <v>49</v>
      </c>
      <c r="E365" s="14">
        <v>18</v>
      </c>
      <c r="F365" s="12">
        <v>11000</v>
      </c>
      <c r="G365" s="12">
        <v>29100</v>
      </c>
      <c r="H365" s="43">
        <f t="shared" ref="H365:H384" si="17">G365-F365</f>
        <v>18100</v>
      </c>
      <c r="I365" s="44">
        <f>IFERROR(VLOOKUP("CM-SHA 11-"&amp;C365,'[1]Light Weight'!B:C,2,0),"")</f>
        <v>10400</v>
      </c>
      <c r="J365" s="15">
        <v>18370</v>
      </c>
      <c r="K365" s="45">
        <f t="shared" ref="K365:K384" si="18">SUM(H365-J365)</f>
        <v>-270</v>
      </c>
      <c r="M365" s="18"/>
    </row>
    <row r="366" spans="1:13" x14ac:dyDescent="0.25">
      <c r="A366" s="16" t="s">
        <v>53</v>
      </c>
      <c r="B366" s="19" t="s">
        <v>27</v>
      </c>
      <c r="C366" s="12">
        <v>2322</v>
      </c>
      <c r="D366" s="42" t="s">
        <v>23</v>
      </c>
      <c r="E366" s="14">
        <v>24</v>
      </c>
      <c r="F366" s="12">
        <v>12300</v>
      </c>
      <c r="G366" s="12">
        <v>36900</v>
      </c>
      <c r="H366" s="43">
        <f t="shared" si="17"/>
        <v>24600</v>
      </c>
      <c r="I366" s="44">
        <v>12160</v>
      </c>
      <c r="J366" s="15">
        <v>24730</v>
      </c>
      <c r="K366" s="45">
        <f t="shared" si="18"/>
        <v>-130</v>
      </c>
      <c r="M366" s="18"/>
    </row>
    <row r="367" spans="1:13" x14ac:dyDescent="0.25">
      <c r="A367" s="16" t="s">
        <v>53</v>
      </c>
      <c r="B367" s="19" t="s">
        <v>27</v>
      </c>
      <c r="C367" s="12">
        <v>428</v>
      </c>
      <c r="D367" s="42" t="s">
        <v>23</v>
      </c>
      <c r="E367" s="14">
        <v>17</v>
      </c>
      <c r="F367" s="12">
        <v>12000</v>
      </c>
      <c r="G367" s="12">
        <v>29300</v>
      </c>
      <c r="H367" s="43">
        <f t="shared" si="17"/>
        <v>17300</v>
      </c>
      <c r="I367" s="44">
        <v>11840</v>
      </c>
      <c r="J367" s="15">
        <v>17360</v>
      </c>
      <c r="K367" s="45">
        <f t="shared" si="18"/>
        <v>-60</v>
      </c>
      <c r="M367" s="18"/>
    </row>
    <row r="368" spans="1:13" x14ac:dyDescent="0.25">
      <c r="A368" s="16" t="s">
        <v>53</v>
      </c>
      <c r="B368" s="19" t="s">
        <v>27</v>
      </c>
      <c r="C368" s="12">
        <v>2322</v>
      </c>
      <c r="D368" s="42" t="s">
        <v>49</v>
      </c>
      <c r="E368" s="14">
        <v>24</v>
      </c>
      <c r="F368" s="12">
        <v>12200</v>
      </c>
      <c r="G368" s="12">
        <v>36900</v>
      </c>
      <c r="H368" s="43">
        <f t="shared" si="17"/>
        <v>24700</v>
      </c>
      <c r="I368" s="44">
        <v>12320</v>
      </c>
      <c r="J368" s="15">
        <v>24430</v>
      </c>
      <c r="K368" s="45">
        <f t="shared" si="18"/>
        <v>270</v>
      </c>
      <c r="M368" s="18"/>
    </row>
    <row r="369" spans="1:13" x14ac:dyDescent="0.25">
      <c r="A369" s="16"/>
      <c r="B369" s="19"/>
      <c r="C369" s="12"/>
      <c r="D369" s="42" t="s">
        <v>23</v>
      </c>
      <c r="E369" s="14"/>
      <c r="F369" s="12"/>
      <c r="G369" s="12"/>
      <c r="H369" s="43">
        <f t="shared" si="17"/>
        <v>0</v>
      </c>
      <c r="I369" s="44" t="str">
        <f>IFERROR(VLOOKUP("CM-SHA 11-"&amp;C369,'[1]Light Weight'!B:C,2,0),"")</f>
        <v/>
      </c>
      <c r="J369" s="15"/>
      <c r="K369" s="45">
        <f t="shared" si="18"/>
        <v>0</v>
      </c>
      <c r="M369" s="18"/>
    </row>
    <row r="370" spans="1:13" x14ac:dyDescent="0.25">
      <c r="A370" s="16"/>
      <c r="B370" s="19"/>
      <c r="C370" s="12"/>
      <c r="D370" s="42" t="s">
        <v>23</v>
      </c>
      <c r="E370" s="14"/>
      <c r="F370" s="12"/>
      <c r="G370" s="12"/>
      <c r="H370" s="43">
        <f t="shared" si="17"/>
        <v>0</v>
      </c>
      <c r="I370" s="44" t="str">
        <f>IFERROR(VLOOKUP("CM-SHA 11-"&amp;C370,'[1]Light Weight'!B:C,2,0),"")</f>
        <v/>
      </c>
      <c r="J370" s="15"/>
      <c r="K370" s="45">
        <f t="shared" si="18"/>
        <v>0</v>
      </c>
      <c r="M370" s="18"/>
    </row>
    <row r="371" spans="1:13" x14ac:dyDescent="0.25">
      <c r="A371" s="16"/>
      <c r="B371" s="19"/>
      <c r="C371" s="12"/>
      <c r="D371" s="42" t="s">
        <v>23</v>
      </c>
      <c r="E371" s="14"/>
      <c r="F371" s="12"/>
      <c r="G371" s="12"/>
      <c r="H371" s="43">
        <f t="shared" si="17"/>
        <v>0</v>
      </c>
      <c r="I371" s="44" t="str">
        <f>IFERROR(VLOOKUP("CM-SHA 11-"&amp;C371,'[1]Light Weight'!B:C,2,0),"")</f>
        <v/>
      </c>
      <c r="J371" s="15"/>
      <c r="K371" s="45">
        <f t="shared" si="18"/>
        <v>0</v>
      </c>
      <c r="M371" s="18"/>
    </row>
    <row r="372" spans="1:13" x14ac:dyDescent="0.25">
      <c r="A372" s="16"/>
      <c r="B372" s="19"/>
      <c r="C372" s="12"/>
      <c r="D372" s="42" t="s">
        <v>23</v>
      </c>
      <c r="E372" s="14"/>
      <c r="F372" s="12"/>
      <c r="G372" s="12"/>
      <c r="H372" s="43">
        <f t="shared" si="17"/>
        <v>0</v>
      </c>
      <c r="I372" s="44" t="str">
        <f>IFERROR(VLOOKUP("CM-SHA 11-"&amp;C372,'[1]Light Weight'!B:C,2,0),"")</f>
        <v/>
      </c>
      <c r="J372" s="15"/>
      <c r="K372" s="45">
        <f t="shared" si="18"/>
        <v>0</v>
      </c>
      <c r="M372" s="18"/>
    </row>
    <row r="373" spans="1:13" x14ac:dyDescent="0.25">
      <c r="A373" s="16"/>
      <c r="B373" s="19"/>
      <c r="C373" s="12"/>
      <c r="D373" s="42" t="s">
        <v>23</v>
      </c>
      <c r="E373" s="14"/>
      <c r="F373" s="12"/>
      <c r="G373" s="12"/>
      <c r="H373" s="43">
        <f t="shared" si="17"/>
        <v>0</v>
      </c>
      <c r="I373" s="44" t="str">
        <f>IFERROR(VLOOKUP("CM-SHA 11-"&amp;C373,'[1]Light Weight'!B:C,2,0),"")</f>
        <v/>
      </c>
      <c r="J373" s="15"/>
      <c r="K373" s="45">
        <f t="shared" si="18"/>
        <v>0</v>
      </c>
      <c r="M373" s="18"/>
    </row>
    <row r="374" spans="1:13" x14ac:dyDescent="0.25">
      <c r="A374" s="16"/>
      <c r="B374" s="19"/>
      <c r="C374" s="12"/>
      <c r="D374" s="42" t="s">
        <v>23</v>
      </c>
      <c r="E374" s="14"/>
      <c r="F374" s="12"/>
      <c r="G374" s="12"/>
      <c r="H374" s="43">
        <f t="shared" si="17"/>
        <v>0</v>
      </c>
      <c r="I374" s="44" t="str">
        <f>IFERROR(VLOOKUP("CM-SHA 11-"&amp;C374,'[1]Light Weight'!B:C,2,0),"")</f>
        <v/>
      </c>
      <c r="J374" s="15"/>
      <c r="K374" s="45">
        <f t="shared" si="18"/>
        <v>0</v>
      </c>
      <c r="M374" s="18"/>
    </row>
    <row r="375" spans="1:13" x14ac:dyDescent="0.25">
      <c r="A375" s="16"/>
      <c r="B375" s="19"/>
      <c r="C375" s="12"/>
      <c r="D375" s="42" t="s">
        <v>23</v>
      </c>
      <c r="E375" s="14"/>
      <c r="F375" s="12"/>
      <c r="G375" s="12"/>
      <c r="H375" s="43">
        <f t="shared" si="17"/>
        <v>0</v>
      </c>
      <c r="I375" s="44" t="str">
        <f>IFERROR(VLOOKUP("CM-SHA 11-"&amp;C375,'[1]Light Weight'!B:C,2,0),"")</f>
        <v/>
      </c>
      <c r="J375" s="15"/>
      <c r="K375" s="45">
        <f t="shared" si="18"/>
        <v>0</v>
      </c>
      <c r="M375" s="18"/>
    </row>
    <row r="376" spans="1:13" x14ac:dyDescent="0.25">
      <c r="A376" s="16"/>
      <c r="B376" s="19"/>
      <c r="C376" s="12"/>
      <c r="D376" s="42" t="s">
        <v>23</v>
      </c>
      <c r="E376" s="14"/>
      <c r="F376" s="12"/>
      <c r="G376" s="12"/>
      <c r="H376" s="43">
        <f t="shared" si="17"/>
        <v>0</v>
      </c>
      <c r="I376" s="44" t="str">
        <f>IFERROR(VLOOKUP("CM-SHA 11-"&amp;C376,'[1]Light Weight'!B:C,2,0),"")</f>
        <v/>
      </c>
      <c r="J376" s="15"/>
      <c r="K376" s="45">
        <f t="shared" si="18"/>
        <v>0</v>
      </c>
      <c r="M376" s="18"/>
    </row>
    <row r="377" spans="1:13" x14ac:dyDescent="0.25">
      <c r="A377" s="16"/>
      <c r="B377" s="19"/>
      <c r="C377" s="12"/>
      <c r="D377" s="42" t="s">
        <v>23</v>
      </c>
      <c r="E377" s="14"/>
      <c r="F377" s="12"/>
      <c r="G377" s="12"/>
      <c r="H377" s="43">
        <f t="shared" si="17"/>
        <v>0</v>
      </c>
      <c r="I377" s="44" t="str">
        <f>IFERROR(VLOOKUP("CM-SHA 11-"&amp;C377,'[1]Light Weight'!B:C,2,0),"")</f>
        <v/>
      </c>
      <c r="J377" s="15"/>
      <c r="K377" s="45">
        <f t="shared" si="18"/>
        <v>0</v>
      </c>
      <c r="M377" s="18"/>
    </row>
    <row r="378" spans="1:13" x14ac:dyDescent="0.25">
      <c r="A378" s="16"/>
      <c r="B378" s="19"/>
      <c r="C378" s="12"/>
      <c r="D378" s="42" t="s">
        <v>23</v>
      </c>
      <c r="E378" s="14"/>
      <c r="F378" s="12"/>
      <c r="G378" s="12"/>
      <c r="H378" s="43">
        <f t="shared" si="17"/>
        <v>0</v>
      </c>
      <c r="I378" s="44" t="str">
        <f>IFERROR(VLOOKUP("CM-SHA 11-"&amp;C378,'[1]Light Weight'!B:C,2,0),"")</f>
        <v/>
      </c>
      <c r="J378" s="15"/>
      <c r="K378" s="45">
        <f t="shared" si="18"/>
        <v>0</v>
      </c>
      <c r="M378" s="18"/>
    </row>
    <row r="379" spans="1:13" x14ac:dyDescent="0.25">
      <c r="A379" s="16"/>
      <c r="B379" s="19"/>
      <c r="C379" s="12"/>
      <c r="D379" s="42" t="s">
        <v>23</v>
      </c>
      <c r="E379" s="14"/>
      <c r="F379" s="12"/>
      <c r="G379" s="12"/>
      <c r="H379" s="43">
        <f t="shared" si="17"/>
        <v>0</v>
      </c>
      <c r="I379" s="44" t="str">
        <f>IFERROR(VLOOKUP("CM-SHA 11-"&amp;C379,'[1]Light Weight'!B:C,2,0),"")</f>
        <v/>
      </c>
      <c r="J379" s="15"/>
      <c r="K379" s="45">
        <f t="shared" si="18"/>
        <v>0</v>
      </c>
      <c r="M379" s="18"/>
    </row>
    <row r="380" spans="1:13" x14ac:dyDescent="0.25">
      <c r="A380" s="16"/>
      <c r="B380" s="19"/>
      <c r="C380" s="12"/>
      <c r="D380" s="42" t="s">
        <v>23</v>
      </c>
      <c r="E380" s="14"/>
      <c r="F380" s="12"/>
      <c r="G380" s="12"/>
      <c r="H380" s="43">
        <f t="shared" si="17"/>
        <v>0</v>
      </c>
      <c r="I380" s="44" t="str">
        <f>IFERROR(VLOOKUP("CM-SHA 11-"&amp;C380,'[1]Light Weight'!B:C,2,0),"")</f>
        <v/>
      </c>
      <c r="J380" s="15"/>
      <c r="K380" s="45">
        <f t="shared" si="18"/>
        <v>0</v>
      </c>
      <c r="M380" s="18"/>
    </row>
    <row r="381" spans="1:13" x14ac:dyDescent="0.25">
      <c r="A381" s="16"/>
      <c r="B381" s="19"/>
      <c r="C381" s="12"/>
      <c r="D381" s="42" t="s">
        <v>23</v>
      </c>
      <c r="E381" s="14"/>
      <c r="F381" s="12"/>
      <c r="G381" s="12"/>
      <c r="H381" s="43">
        <f t="shared" si="17"/>
        <v>0</v>
      </c>
      <c r="I381" s="44" t="str">
        <f>IFERROR(VLOOKUP("CM-SHA 11-"&amp;C381,'[1]Light Weight'!B:C,2,0),"")</f>
        <v/>
      </c>
      <c r="J381" s="15"/>
      <c r="K381" s="45">
        <f t="shared" si="18"/>
        <v>0</v>
      </c>
      <c r="M381" s="18"/>
    </row>
    <row r="382" spans="1:13" x14ac:dyDescent="0.25">
      <c r="A382" s="16"/>
      <c r="B382" s="19"/>
      <c r="C382" s="12"/>
      <c r="D382" s="42" t="s">
        <v>23</v>
      </c>
      <c r="E382" s="14"/>
      <c r="F382" s="12"/>
      <c r="G382" s="12"/>
      <c r="H382" s="43">
        <f t="shared" si="17"/>
        <v>0</v>
      </c>
      <c r="I382" s="44" t="str">
        <f>IFERROR(VLOOKUP("CM-SHA 11-"&amp;C382,'[1]Light Weight'!B:C,2,0),"")</f>
        <v/>
      </c>
      <c r="J382" s="15"/>
      <c r="K382" s="45">
        <f t="shared" si="18"/>
        <v>0</v>
      </c>
      <c r="M382" s="18"/>
    </row>
    <row r="383" spans="1:13" x14ac:dyDescent="0.25">
      <c r="A383" s="16"/>
      <c r="B383" s="19"/>
      <c r="C383" s="12"/>
      <c r="D383" s="42" t="s">
        <v>23</v>
      </c>
      <c r="E383" s="14"/>
      <c r="F383" s="12"/>
      <c r="G383" s="12"/>
      <c r="H383" s="43">
        <f t="shared" si="17"/>
        <v>0</v>
      </c>
      <c r="I383" s="44" t="str">
        <f>IFERROR(VLOOKUP("CM-SHA 11-"&amp;C383,'[1]Light Weight'!B:C,2,0),"")</f>
        <v/>
      </c>
      <c r="J383" s="15"/>
      <c r="K383" s="45">
        <f t="shared" si="18"/>
        <v>0</v>
      </c>
      <c r="M383" s="18"/>
    </row>
    <row r="384" spans="1:13" x14ac:dyDescent="0.25">
      <c r="A384" s="16"/>
      <c r="B384" s="19"/>
      <c r="C384" s="12"/>
      <c r="D384" s="42" t="s">
        <v>23</v>
      </c>
      <c r="E384" s="14"/>
      <c r="F384" s="12"/>
      <c r="G384" s="12"/>
      <c r="H384" s="43">
        <f t="shared" si="17"/>
        <v>0</v>
      </c>
      <c r="I384" s="44" t="str">
        <f>IFERROR(VLOOKUP("CM-SHA 11-"&amp;C384,'[1]Light Weight'!B:C,2,0),"")</f>
        <v/>
      </c>
      <c r="J384" s="15"/>
      <c r="K384" s="45">
        <f t="shared" si="18"/>
        <v>0</v>
      </c>
      <c r="M384" s="18"/>
    </row>
    <row r="385" spans="1:13" x14ac:dyDescent="0.25">
      <c r="A385" s="16"/>
      <c r="B385" s="19"/>
      <c r="C385" s="12"/>
      <c r="D385" s="42" t="s">
        <v>23</v>
      </c>
      <c r="E385" s="14"/>
      <c r="F385" s="12"/>
      <c r="G385" s="12"/>
      <c r="H385" s="43">
        <f t="shared" si="13"/>
        <v>0</v>
      </c>
      <c r="I385" s="44" t="str">
        <f>IFERROR(VLOOKUP("CM-SHA 11-"&amp;C385,'[1]Light Weight'!B:C,2,0),"")</f>
        <v/>
      </c>
      <c r="J385" s="15"/>
      <c r="K385" s="45">
        <f t="shared" si="14"/>
        <v>0</v>
      </c>
      <c r="M385" s="18"/>
    </row>
    <row r="386" spans="1:13" x14ac:dyDescent="0.25">
      <c r="A386" s="16"/>
      <c r="B386" s="19"/>
      <c r="C386" s="12"/>
      <c r="D386" s="42" t="s">
        <v>23</v>
      </c>
      <c r="E386" s="14"/>
      <c r="F386" s="12"/>
      <c r="G386" s="12"/>
      <c r="H386" s="43">
        <f t="shared" si="13"/>
        <v>0</v>
      </c>
      <c r="I386" s="44" t="str">
        <f>IFERROR(VLOOKUP("CM-SHA 11-"&amp;C386,'[1]Light Weight'!B:C,2,0),"")</f>
        <v/>
      </c>
      <c r="J386" s="15"/>
      <c r="K386" s="45">
        <f t="shared" si="14"/>
        <v>0</v>
      </c>
      <c r="M386" s="18"/>
    </row>
    <row r="387" spans="1:13" x14ac:dyDescent="0.25">
      <c r="A387" s="16"/>
      <c r="B387" s="19"/>
      <c r="C387" s="12"/>
      <c r="D387" s="42" t="s">
        <v>23</v>
      </c>
      <c r="E387" s="14"/>
      <c r="F387" s="12"/>
      <c r="G387" s="12"/>
      <c r="H387" s="43">
        <f t="shared" si="13"/>
        <v>0</v>
      </c>
      <c r="I387" s="44" t="str">
        <f>IFERROR(VLOOKUP("CM-SHA 11-"&amp;C387,'[1]Light Weight'!B:C,2,0),"")</f>
        <v/>
      </c>
      <c r="J387" s="15"/>
      <c r="K387" s="45">
        <f t="shared" si="14"/>
        <v>0</v>
      </c>
      <c r="M387" s="18"/>
    </row>
    <row r="388" spans="1:13" x14ac:dyDescent="0.25">
      <c r="A388" s="16"/>
      <c r="B388" s="19"/>
      <c r="C388" s="12"/>
      <c r="D388" s="42" t="s">
        <v>23</v>
      </c>
      <c r="E388" s="14"/>
      <c r="F388" s="12"/>
      <c r="G388" s="12"/>
      <c r="H388" s="43">
        <f t="shared" si="13"/>
        <v>0</v>
      </c>
      <c r="I388" s="44" t="str">
        <f>IFERROR(VLOOKUP("CM-SHA 11-"&amp;C388,'[1]Light Weight'!B:C,2,0),"")</f>
        <v/>
      </c>
      <c r="J388" s="15"/>
      <c r="K388" s="45">
        <f t="shared" si="14"/>
        <v>0</v>
      </c>
      <c r="M388" s="18"/>
    </row>
    <row r="389" spans="1:13" x14ac:dyDescent="0.25">
      <c r="A389" s="16"/>
      <c r="B389" s="19"/>
      <c r="C389" s="12"/>
      <c r="D389" s="42" t="s">
        <v>23</v>
      </c>
      <c r="E389" s="14"/>
      <c r="F389" s="12"/>
      <c r="G389" s="12"/>
      <c r="H389" s="43">
        <f t="shared" si="13"/>
        <v>0</v>
      </c>
      <c r="I389" s="44" t="str">
        <f>IFERROR(VLOOKUP("CM-SHA 11-"&amp;C389,'[1]Light Weight'!B:C,2,0),"")</f>
        <v/>
      </c>
      <c r="J389" s="15"/>
      <c r="K389" s="45">
        <f t="shared" si="14"/>
        <v>0</v>
      </c>
      <c r="M389" s="18"/>
    </row>
    <row r="390" spans="1:13" x14ac:dyDescent="0.25">
      <c r="A390" s="16"/>
      <c r="B390" s="19"/>
      <c r="C390" s="12"/>
      <c r="D390" s="42" t="s">
        <v>23</v>
      </c>
      <c r="E390" s="14"/>
      <c r="F390" s="12"/>
      <c r="G390" s="12"/>
      <c r="H390" s="43">
        <f t="shared" si="13"/>
        <v>0</v>
      </c>
      <c r="I390" s="44" t="str">
        <f>IFERROR(VLOOKUP("CM-SHA 11-"&amp;C390,'[1]Light Weight'!B:C,2,0),"")</f>
        <v/>
      </c>
      <c r="J390" s="15"/>
      <c r="K390" s="45">
        <f t="shared" si="14"/>
        <v>0</v>
      </c>
      <c r="M390" s="18"/>
    </row>
    <row r="391" spans="1:13" x14ac:dyDescent="0.25">
      <c r="A391" s="16"/>
      <c r="B391" s="19"/>
      <c r="C391" s="12"/>
      <c r="D391" s="42" t="s">
        <v>23</v>
      </c>
      <c r="E391" s="14"/>
      <c r="F391" s="12"/>
      <c r="G391" s="12"/>
      <c r="H391" s="43">
        <f t="shared" si="13"/>
        <v>0</v>
      </c>
      <c r="I391" s="44" t="str">
        <f>IFERROR(VLOOKUP("CM-SHA 11-"&amp;C391,'[1]Light Weight'!B:C,2,0),"")</f>
        <v/>
      </c>
      <c r="J391" s="15"/>
      <c r="K391" s="45">
        <f t="shared" si="14"/>
        <v>0</v>
      </c>
      <c r="M391" s="18"/>
    </row>
    <row r="392" spans="1:13" x14ac:dyDescent="0.25">
      <c r="A392" s="16"/>
      <c r="B392" s="19"/>
      <c r="C392" s="12"/>
      <c r="D392" s="42" t="s">
        <v>23</v>
      </c>
      <c r="E392" s="14"/>
      <c r="F392" s="12"/>
      <c r="G392" s="12"/>
      <c r="H392" s="43">
        <f t="shared" si="13"/>
        <v>0</v>
      </c>
      <c r="I392" s="44" t="str">
        <f>IFERROR(VLOOKUP("CM-SHA 11-"&amp;C392,'[1]Light Weight'!B:C,2,0),"")</f>
        <v/>
      </c>
      <c r="J392" s="15"/>
      <c r="K392" s="45">
        <f t="shared" si="14"/>
        <v>0</v>
      </c>
      <c r="M392" s="18"/>
    </row>
    <row r="393" spans="1:13" x14ac:dyDescent="0.25">
      <c r="A393" s="16"/>
      <c r="B393" s="19"/>
      <c r="C393" s="12"/>
      <c r="D393" s="42" t="s">
        <v>23</v>
      </c>
      <c r="E393" s="14"/>
      <c r="F393" s="12"/>
      <c r="G393" s="12"/>
      <c r="H393" s="43">
        <f t="shared" si="13"/>
        <v>0</v>
      </c>
      <c r="I393" s="44" t="str">
        <f>IFERROR(VLOOKUP("CM-SHA 11-"&amp;C393,'[1]Light Weight'!B:C,2,0),"")</f>
        <v/>
      </c>
      <c r="J393" s="15"/>
      <c r="K393" s="45">
        <f t="shared" si="14"/>
        <v>0</v>
      </c>
      <c r="M393" s="18"/>
    </row>
    <row r="394" spans="1:13" x14ac:dyDescent="0.25">
      <c r="A394" s="16"/>
      <c r="B394" s="19"/>
      <c r="C394" s="12"/>
      <c r="D394" s="42" t="s">
        <v>23</v>
      </c>
      <c r="E394" s="14"/>
      <c r="F394" s="12"/>
      <c r="G394" s="12"/>
      <c r="H394" s="43">
        <f t="shared" si="13"/>
        <v>0</v>
      </c>
      <c r="I394" s="44" t="str">
        <f>IFERROR(VLOOKUP("CM-SHA 11-"&amp;C394,'[1]Light Weight'!B:C,2,0),"")</f>
        <v/>
      </c>
      <c r="J394" s="15"/>
      <c r="K394" s="45">
        <f t="shared" si="14"/>
        <v>0</v>
      </c>
      <c r="M394" s="18"/>
    </row>
    <row r="395" spans="1:13" x14ac:dyDescent="0.25">
      <c r="A395" s="16"/>
      <c r="B395" s="19"/>
      <c r="C395" s="12"/>
      <c r="D395" s="42" t="s">
        <v>23</v>
      </c>
      <c r="E395" s="14"/>
      <c r="F395" s="12"/>
      <c r="G395" s="12"/>
      <c r="H395" s="43">
        <f t="shared" ref="H395:H404" si="19">G395-F395</f>
        <v>0</v>
      </c>
      <c r="I395" s="44" t="str">
        <f>IFERROR(VLOOKUP("CM-SHA 11-"&amp;C395,'[1]Light Weight'!B:C,2,0),"")</f>
        <v/>
      </c>
      <c r="J395" s="15"/>
      <c r="K395" s="45">
        <f t="shared" ref="K395:K404" si="20">SUM(H395-J395)</f>
        <v>0</v>
      </c>
      <c r="M395" s="18"/>
    </row>
    <row r="396" spans="1:13" x14ac:dyDescent="0.25">
      <c r="A396" s="16"/>
      <c r="B396" s="19"/>
      <c r="C396" s="12"/>
      <c r="D396" s="42" t="s">
        <v>23</v>
      </c>
      <c r="E396" s="14"/>
      <c r="F396" s="12"/>
      <c r="G396" s="12"/>
      <c r="H396" s="43">
        <f t="shared" si="19"/>
        <v>0</v>
      </c>
      <c r="I396" s="44" t="str">
        <f>IFERROR(VLOOKUP("CM-SHA 11-"&amp;C396,'[1]Light Weight'!B:C,2,0),"")</f>
        <v/>
      </c>
      <c r="J396" s="15"/>
      <c r="K396" s="45">
        <f t="shared" si="20"/>
        <v>0</v>
      </c>
      <c r="M396" s="18"/>
    </row>
    <row r="397" spans="1:13" x14ac:dyDescent="0.25">
      <c r="A397" s="16"/>
      <c r="B397" s="19"/>
      <c r="C397" s="12"/>
      <c r="D397" s="42" t="s">
        <v>23</v>
      </c>
      <c r="E397" s="14"/>
      <c r="F397" s="12"/>
      <c r="G397" s="12"/>
      <c r="H397" s="43">
        <f t="shared" si="19"/>
        <v>0</v>
      </c>
      <c r="I397" s="44" t="str">
        <f>IFERROR(VLOOKUP("CM-SHA 11-"&amp;C397,'[1]Light Weight'!B:C,2,0),"")</f>
        <v/>
      </c>
      <c r="J397" s="15"/>
      <c r="K397" s="45">
        <f t="shared" si="20"/>
        <v>0</v>
      </c>
      <c r="M397" s="18"/>
    </row>
    <row r="398" spans="1:13" x14ac:dyDescent="0.25">
      <c r="A398" s="16"/>
      <c r="B398" s="19"/>
      <c r="C398" s="12"/>
      <c r="D398" s="42" t="s">
        <v>23</v>
      </c>
      <c r="E398" s="14"/>
      <c r="F398" s="12"/>
      <c r="G398" s="12"/>
      <c r="H398" s="43">
        <f t="shared" si="19"/>
        <v>0</v>
      </c>
      <c r="I398" s="44" t="str">
        <f>IFERROR(VLOOKUP("CM-SHA 11-"&amp;C398,'[1]Light Weight'!B:C,2,0),"")</f>
        <v/>
      </c>
      <c r="J398" s="15"/>
      <c r="K398" s="45">
        <f t="shared" si="20"/>
        <v>0</v>
      </c>
      <c r="M398" s="18"/>
    </row>
    <row r="399" spans="1:13" x14ac:dyDescent="0.25">
      <c r="A399" s="16"/>
      <c r="B399" s="19"/>
      <c r="C399" s="12"/>
      <c r="D399" s="42" t="s">
        <v>23</v>
      </c>
      <c r="E399" s="14"/>
      <c r="F399" s="12"/>
      <c r="G399" s="12"/>
      <c r="H399" s="43">
        <f t="shared" si="19"/>
        <v>0</v>
      </c>
      <c r="I399" s="44" t="str">
        <f>IFERROR(VLOOKUP("CM-SHA 11-"&amp;C399,'[1]Light Weight'!B:C,2,0),"")</f>
        <v/>
      </c>
      <c r="J399" s="15"/>
      <c r="K399" s="45">
        <f t="shared" si="20"/>
        <v>0</v>
      </c>
      <c r="M399" s="18"/>
    </row>
    <row r="400" spans="1:13" x14ac:dyDescent="0.25">
      <c r="A400" s="16"/>
      <c r="B400" s="19"/>
      <c r="C400" s="12"/>
      <c r="D400" s="42" t="s">
        <v>23</v>
      </c>
      <c r="E400" s="14"/>
      <c r="F400" s="12"/>
      <c r="G400" s="12"/>
      <c r="H400" s="43">
        <f t="shared" si="19"/>
        <v>0</v>
      </c>
      <c r="I400" s="44" t="str">
        <f>IFERROR(VLOOKUP("CM-SHA 11-"&amp;C400,'[1]Light Weight'!B:C,2,0),"")</f>
        <v/>
      </c>
      <c r="J400" s="15"/>
      <c r="K400" s="45">
        <f t="shared" si="20"/>
        <v>0</v>
      </c>
      <c r="M400" s="18"/>
    </row>
    <row r="401" spans="1:13" x14ac:dyDescent="0.25">
      <c r="A401" s="16"/>
      <c r="B401" s="19"/>
      <c r="C401" s="12"/>
      <c r="D401" s="42" t="s">
        <v>23</v>
      </c>
      <c r="E401" s="14"/>
      <c r="F401" s="12"/>
      <c r="G401" s="12"/>
      <c r="H401" s="43">
        <f t="shared" si="19"/>
        <v>0</v>
      </c>
      <c r="I401" s="44" t="str">
        <f>IFERROR(VLOOKUP("CM-SHA 11-"&amp;C401,'[1]Light Weight'!B:C,2,0),"")</f>
        <v/>
      </c>
      <c r="J401" s="15"/>
      <c r="K401" s="45">
        <f t="shared" si="20"/>
        <v>0</v>
      </c>
      <c r="M401" s="18"/>
    </row>
    <row r="402" spans="1:13" x14ac:dyDescent="0.25">
      <c r="A402" s="16"/>
      <c r="B402" s="19"/>
      <c r="C402" s="12"/>
      <c r="D402" s="42" t="s">
        <v>23</v>
      </c>
      <c r="E402" s="14"/>
      <c r="F402" s="12"/>
      <c r="G402" s="12"/>
      <c r="H402" s="43">
        <f t="shared" si="19"/>
        <v>0</v>
      </c>
      <c r="I402" s="44" t="str">
        <f>IFERROR(VLOOKUP("CM-SHA 11-"&amp;C402,'[1]Light Weight'!B:C,2,0),"")</f>
        <v/>
      </c>
      <c r="J402" s="15"/>
      <c r="K402" s="45">
        <f t="shared" si="20"/>
        <v>0</v>
      </c>
      <c r="M402" s="18"/>
    </row>
    <row r="403" spans="1:13" x14ac:dyDescent="0.25">
      <c r="A403" s="16"/>
      <c r="B403" s="19"/>
      <c r="C403" s="12"/>
      <c r="D403" s="42" t="s">
        <v>23</v>
      </c>
      <c r="E403" s="14"/>
      <c r="F403" s="12"/>
      <c r="G403" s="12"/>
      <c r="H403" s="43">
        <f t="shared" si="19"/>
        <v>0</v>
      </c>
      <c r="I403" s="44" t="str">
        <f>IFERROR(VLOOKUP("CM-SHA 11-"&amp;C403,'[1]Light Weight'!B:C,2,0),"")</f>
        <v/>
      </c>
      <c r="J403" s="15"/>
      <c r="K403" s="45">
        <f t="shared" si="20"/>
        <v>0</v>
      </c>
      <c r="M403" s="18"/>
    </row>
    <row r="404" spans="1:13" x14ac:dyDescent="0.25">
      <c r="A404" s="16"/>
      <c r="B404" s="19"/>
      <c r="C404" s="12"/>
      <c r="D404" s="42" t="s">
        <v>23</v>
      </c>
      <c r="E404" s="14"/>
      <c r="F404" s="12"/>
      <c r="G404" s="12"/>
      <c r="H404" s="43">
        <f t="shared" si="19"/>
        <v>0</v>
      </c>
      <c r="I404" s="44" t="str">
        <f>IFERROR(VLOOKUP("CM-SHA 11-"&amp;C404,'[1]Light Weight'!B:C,2,0),"")</f>
        <v/>
      </c>
      <c r="J404" s="15"/>
      <c r="K404" s="45">
        <f t="shared" si="20"/>
        <v>0</v>
      </c>
      <c r="M404" s="18"/>
    </row>
    <row r="405" spans="1:13" x14ac:dyDescent="0.25">
      <c r="A405" s="16"/>
      <c r="B405" s="19"/>
      <c r="C405" s="12"/>
      <c r="D405" s="42" t="s">
        <v>23</v>
      </c>
      <c r="E405" s="14"/>
      <c r="F405" s="12"/>
      <c r="G405" s="12"/>
      <c r="H405" s="43">
        <f t="shared" ref="H405:H414" si="21">G405-F405</f>
        <v>0</v>
      </c>
      <c r="I405" s="44" t="str">
        <f>IFERROR(VLOOKUP("CM-SHA 11-"&amp;C405,'[1]Light Weight'!B:C,2,0),"")</f>
        <v/>
      </c>
      <c r="J405" s="15"/>
      <c r="K405" s="45">
        <f t="shared" ref="K405:K414" si="22">SUM(H405-J405)</f>
        <v>0</v>
      </c>
      <c r="M405" s="18"/>
    </row>
    <row r="406" spans="1:13" x14ac:dyDescent="0.25">
      <c r="A406" s="16"/>
      <c r="B406" s="19"/>
      <c r="C406" s="12"/>
      <c r="D406" s="42" t="s">
        <v>23</v>
      </c>
      <c r="E406" s="14"/>
      <c r="F406" s="12"/>
      <c r="G406" s="12"/>
      <c r="H406" s="43">
        <f t="shared" si="21"/>
        <v>0</v>
      </c>
      <c r="I406" s="44" t="str">
        <f>IFERROR(VLOOKUP("CM-SHA 11-"&amp;C406,'[1]Light Weight'!B:C,2,0),"")</f>
        <v/>
      </c>
      <c r="J406" s="15"/>
      <c r="K406" s="45">
        <f t="shared" si="22"/>
        <v>0</v>
      </c>
      <c r="M406" s="18"/>
    </row>
    <row r="407" spans="1:13" x14ac:dyDescent="0.25">
      <c r="A407" s="16"/>
      <c r="B407" s="19"/>
      <c r="C407" s="12"/>
      <c r="D407" s="42" t="s">
        <v>23</v>
      </c>
      <c r="E407" s="14"/>
      <c r="F407" s="12"/>
      <c r="G407" s="12"/>
      <c r="H407" s="43">
        <f t="shared" si="21"/>
        <v>0</v>
      </c>
      <c r="I407" s="44" t="str">
        <f>IFERROR(VLOOKUP("CM-SHA 11-"&amp;C407,'[1]Light Weight'!B:C,2,0),"")</f>
        <v/>
      </c>
      <c r="J407" s="15"/>
      <c r="K407" s="45">
        <f t="shared" si="22"/>
        <v>0</v>
      </c>
      <c r="M407" s="18"/>
    </row>
    <row r="408" spans="1:13" x14ac:dyDescent="0.25">
      <c r="A408" s="16"/>
      <c r="B408" s="19"/>
      <c r="C408" s="12"/>
      <c r="D408" s="42" t="s">
        <v>23</v>
      </c>
      <c r="E408" s="14"/>
      <c r="F408" s="12"/>
      <c r="G408" s="12"/>
      <c r="H408" s="43">
        <f t="shared" si="21"/>
        <v>0</v>
      </c>
      <c r="I408" s="44" t="str">
        <f>IFERROR(VLOOKUP("CM-SHA 11-"&amp;C408,'[1]Light Weight'!B:C,2,0),"")</f>
        <v/>
      </c>
      <c r="J408" s="15"/>
      <c r="K408" s="45">
        <f t="shared" si="22"/>
        <v>0</v>
      </c>
      <c r="M408" s="18"/>
    </row>
    <row r="409" spans="1:13" x14ac:dyDescent="0.25">
      <c r="A409" s="16"/>
      <c r="B409" s="19"/>
      <c r="C409" s="12"/>
      <c r="D409" s="42" t="s">
        <v>23</v>
      </c>
      <c r="E409" s="14"/>
      <c r="F409" s="12"/>
      <c r="G409" s="12"/>
      <c r="H409" s="43">
        <f t="shared" si="21"/>
        <v>0</v>
      </c>
      <c r="I409" s="44" t="str">
        <f>IFERROR(VLOOKUP("CM-SHA 11-"&amp;C409,'[1]Light Weight'!B:C,2,0),"")</f>
        <v/>
      </c>
      <c r="J409" s="15"/>
      <c r="K409" s="45">
        <f t="shared" si="22"/>
        <v>0</v>
      </c>
      <c r="M409" s="18"/>
    </row>
    <row r="410" spans="1:13" x14ac:dyDescent="0.25">
      <c r="A410" s="16"/>
      <c r="B410" s="19"/>
      <c r="C410" s="12"/>
      <c r="D410" s="42" t="s">
        <v>23</v>
      </c>
      <c r="E410" s="14"/>
      <c r="F410" s="12"/>
      <c r="G410" s="12"/>
      <c r="H410" s="43">
        <f t="shared" si="21"/>
        <v>0</v>
      </c>
      <c r="I410" s="44" t="str">
        <f>IFERROR(VLOOKUP("CM-SHA 11-"&amp;C410,'[1]Light Weight'!B:C,2,0),"")</f>
        <v/>
      </c>
      <c r="J410" s="15"/>
      <c r="K410" s="45">
        <f t="shared" si="22"/>
        <v>0</v>
      </c>
      <c r="M410" s="18"/>
    </row>
    <row r="411" spans="1:13" x14ac:dyDescent="0.25">
      <c r="A411" s="16"/>
      <c r="B411" s="19"/>
      <c r="C411" s="12"/>
      <c r="D411" s="42" t="s">
        <v>23</v>
      </c>
      <c r="E411" s="14"/>
      <c r="F411" s="12"/>
      <c r="G411" s="12"/>
      <c r="H411" s="43">
        <f t="shared" si="21"/>
        <v>0</v>
      </c>
      <c r="I411" s="44" t="str">
        <f>IFERROR(VLOOKUP("CM-SHA 11-"&amp;C411,'[1]Light Weight'!B:C,2,0),"")</f>
        <v/>
      </c>
      <c r="J411" s="15"/>
      <c r="K411" s="45">
        <f t="shared" si="22"/>
        <v>0</v>
      </c>
      <c r="M411" s="18"/>
    </row>
    <row r="412" spans="1:13" x14ac:dyDescent="0.25">
      <c r="A412" s="16"/>
      <c r="B412" s="19"/>
      <c r="C412" s="12"/>
      <c r="D412" s="42" t="s">
        <v>23</v>
      </c>
      <c r="E412" s="14"/>
      <c r="F412" s="12"/>
      <c r="G412" s="12"/>
      <c r="H412" s="43">
        <f t="shared" si="21"/>
        <v>0</v>
      </c>
      <c r="I412" s="44" t="str">
        <f>IFERROR(VLOOKUP("CM-SHA 11-"&amp;C412,'[1]Light Weight'!B:C,2,0),"")</f>
        <v/>
      </c>
      <c r="J412" s="15"/>
      <c r="K412" s="45">
        <f t="shared" si="22"/>
        <v>0</v>
      </c>
      <c r="M412" s="18"/>
    </row>
    <row r="413" spans="1:13" x14ac:dyDescent="0.25">
      <c r="A413" s="16"/>
      <c r="B413" s="19"/>
      <c r="C413" s="12"/>
      <c r="D413" s="42" t="s">
        <v>23</v>
      </c>
      <c r="E413" s="14"/>
      <c r="F413" s="12"/>
      <c r="G413" s="12"/>
      <c r="H413" s="43">
        <f t="shared" si="21"/>
        <v>0</v>
      </c>
      <c r="I413" s="44" t="str">
        <f>IFERROR(VLOOKUP("CM-SHA 11-"&amp;C413,'[1]Light Weight'!B:C,2,0),"")</f>
        <v/>
      </c>
      <c r="J413" s="15"/>
      <c r="K413" s="45">
        <f t="shared" si="22"/>
        <v>0</v>
      </c>
      <c r="M413" s="18"/>
    </row>
    <row r="414" spans="1:13" x14ac:dyDescent="0.25">
      <c r="A414" s="16"/>
      <c r="B414" s="19"/>
      <c r="C414" s="12"/>
      <c r="D414" s="42" t="s">
        <v>23</v>
      </c>
      <c r="E414" s="14"/>
      <c r="F414" s="12"/>
      <c r="G414" s="12"/>
      <c r="H414" s="43">
        <f t="shared" si="21"/>
        <v>0</v>
      </c>
      <c r="I414" s="44" t="str">
        <f>IFERROR(VLOOKUP("CM-SHA 11-"&amp;C414,'[1]Light Weight'!B:C,2,0),"")</f>
        <v/>
      </c>
      <c r="J414" s="15"/>
      <c r="K414" s="45">
        <f t="shared" si="22"/>
        <v>0</v>
      </c>
      <c r="M414" s="18"/>
    </row>
    <row r="415" spans="1:13" x14ac:dyDescent="0.25">
      <c r="A415" s="16"/>
      <c r="B415" s="19"/>
      <c r="C415" s="12"/>
      <c r="D415" s="42" t="s">
        <v>23</v>
      </c>
      <c r="E415" s="14"/>
      <c r="F415" s="12"/>
      <c r="G415" s="12"/>
      <c r="H415" s="43">
        <f t="shared" si="13"/>
        <v>0</v>
      </c>
      <c r="I415" s="44" t="str">
        <f>IFERROR(VLOOKUP("CM-SHA 11-"&amp;C415,'[1]Light Weight'!B:C,2,0),"")</f>
        <v/>
      </c>
      <c r="J415" s="15"/>
      <c r="K415" s="45">
        <f t="shared" si="14"/>
        <v>0</v>
      </c>
      <c r="M415" s="18"/>
    </row>
    <row r="416" spans="1:13" x14ac:dyDescent="0.25">
      <c r="A416" s="16"/>
      <c r="B416" s="19"/>
      <c r="C416" s="12"/>
      <c r="D416" s="42" t="s">
        <v>23</v>
      </c>
      <c r="E416" s="14"/>
      <c r="F416" s="12"/>
      <c r="G416" s="12"/>
      <c r="H416" s="43">
        <f t="shared" si="13"/>
        <v>0</v>
      </c>
      <c r="I416" s="44" t="str">
        <f>IFERROR(VLOOKUP("CM-SHA 11-"&amp;C416,'[1]Light Weight'!B:C,2,0),"")</f>
        <v/>
      </c>
      <c r="J416" s="15"/>
      <c r="K416" s="45">
        <f t="shared" si="14"/>
        <v>0</v>
      </c>
      <c r="M416" s="18"/>
    </row>
    <row r="417" spans="1:13" x14ac:dyDescent="0.25">
      <c r="A417" s="16"/>
      <c r="B417" s="19"/>
      <c r="C417" s="12"/>
      <c r="D417" s="42" t="s">
        <v>23</v>
      </c>
      <c r="E417" s="14"/>
      <c r="F417" s="12"/>
      <c r="G417" s="12"/>
      <c r="H417" s="43">
        <f t="shared" si="13"/>
        <v>0</v>
      </c>
      <c r="I417" s="44" t="str">
        <f>IFERROR(VLOOKUP("CM-SHA 11-"&amp;C417,'[1]Light Weight'!B:C,2,0),"")</f>
        <v/>
      </c>
      <c r="J417" s="15"/>
      <c r="K417" s="45">
        <f t="shared" si="14"/>
        <v>0</v>
      </c>
      <c r="M417" s="18"/>
    </row>
    <row r="418" spans="1:13" x14ac:dyDescent="0.25">
      <c r="A418" s="16"/>
      <c r="B418" s="19"/>
      <c r="C418" s="12"/>
      <c r="D418" s="42" t="s">
        <v>23</v>
      </c>
      <c r="E418" s="14"/>
      <c r="F418" s="12"/>
      <c r="G418" s="12"/>
      <c r="H418" s="43">
        <f t="shared" si="13"/>
        <v>0</v>
      </c>
      <c r="I418" s="44" t="str">
        <f>IFERROR(VLOOKUP("CM-SHA 11-"&amp;C418,'[1]Light Weight'!B:C,2,0),"")</f>
        <v/>
      </c>
      <c r="J418" s="15"/>
      <c r="K418" s="45">
        <f t="shared" si="14"/>
        <v>0</v>
      </c>
      <c r="M418" s="18"/>
    </row>
    <row r="419" spans="1:13" x14ac:dyDescent="0.25">
      <c r="A419" s="16"/>
      <c r="B419" s="19"/>
      <c r="C419" s="12"/>
      <c r="D419" s="42" t="s">
        <v>23</v>
      </c>
      <c r="E419" s="14"/>
      <c r="F419" s="12"/>
      <c r="G419" s="12"/>
      <c r="H419" s="43">
        <f t="shared" si="13"/>
        <v>0</v>
      </c>
      <c r="I419" s="44" t="str">
        <f>IFERROR(VLOOKUP("CM-SHA 11-"&amp;C419,'[1]Light Weight'!B:C,2,0),"")</f>
        <v/>
      </c>
      <c r="J419" s="15"/>
      <c r="K419" s="45">
        <f t="shared" si="14"/>
        <v>0</v>
      </c>
      <c r="M419" s="18"/>
    </row>
    <row r="420" spans="1:13" x14ac:dyDescent="0.25">
      <c r="A420" s="16"/>
      <c r="B420" s="19"/>
      <c r="C420" s="12"/>
      <c r="D420" s="42" t="s">
        <v>23</v>
      </c>
      <c r="E420" s="14"/>
      <c r="F420" s="12"/>
      <c r="G420" s="12"/>
      <c r="H420" s="43">
        <f t="shared" si="11"/>
        <v>0</v>
      </c>
      <c r="I420" s="44" t="str">
        <f>IFERROR(VLOOKUP("CM-SHA 11-"&amp;C420,'[1]Light Weight'!B:C,2,0),"")</f>
        <v/>
      </c>
      <c r="J420" s="15"/>
      <c r="K420" s="45">
        <f t="shared" si="7"/>
        <v>0</v>
      </c>
      <c r="M420" s="18"/>
    </row>
    <row r="421" spans="1:13" x14ac:dyDescent="0.25">
      <c r="A421" s="16"/>
      <c r="B421" s="19"/>
      <c r="C421" s="12"/>
      <c r="D421" s="42" t="s">
        <v>23</v>
      </c>
      <c r="E421" s="14"/>
      <c r="F421" s="12"/>
      <c r="G421" s="12"/>
      <c r="H421" s="43">
        <f t="shared" si="11"/>
        <v>0</v>
      </c>
      <c r="I421" s="44" t="str">
        <f>IFERROR(VLOOKUP("CM-SHA 11-"&amp;C421,'[1]Light Weight'!B:C,2,0),"")</f>
        <v/>
      </c>
      <c r="J421" s="15"/>
      <c r="K421" s="45">
        <f t="shared" si="7"/>
        <v>0</v>
      </c>
      <c r="M421" s="18"/>
    </row>
    <row r="422" spans="1:13" x14ac:dyDescent="0.25">
      <c r="A422" s="16"/>
      <c r="B422" s="19"/>
      <c r="C422" s="12"/>
      <c r="D422" s="42" t="s">
        <v>23</v>
      </c>
      <c r="E422" s="14"/>
      <c r="F422" s="12"/>
      <c r="G422" s="12"/>
      <c r="H422" s="43">
        <f t="shared" si="11"/>
        <v>0</v>
      </c>
      <c r="I422" s="44" t="str">
        <f>IFERROR(VLOOKUP("CM-SHA 11-"&amp;C422,'[1]Light Weight'!B:C,2,0),"")</f>
        <v/>
      </c>
      <c r="J422" s="15"/>
      <c r="K422" s="45">
        <f t="shared" si="7"/>
        <v>0</v>
      </c>
      <c r="M422" s="18"/>
    </row>
    <row r="423" spans="1:13" x14ac:dyDescent="0.25">
      <c r="A423" s="16"/>
      <c r="B423" s="19"/>
      <c r="C423" s="12"/>
      <c r="D423" s="42" t="s">
        <v>23</v>
      </c>
      <c r="E423" s="14"/>
      <c r="F423" s="12"/>
      <c r="G423" s="12"/>
      <c r="H423" s="43">
        <f t="shared" si="11"/>
        <v>0</v>
      </c>
      <c r="I423" s="44" t="str">
        <f>IFERROR(VLOOKUP("CM-SHA 11-"&amp;C423,'[1]Light Weight'!B:C,2,0),"")</f>
        <v/>
      </c>
      <c r="J423" s="15"/>
      <c r="K423" s="45">
        <f t="shared" si="7"/>
        <v>0</v>
      </c>
      <c r="M423" s="18"/>
    </row>
    <row r="424" spans="1:13" x14ac:dyDescent="0.25">
      <c r="A424" s="16"/>
      <c r="B424" s="19"/>
      <c r="C424" s="12"/>
      <c r="D424" s="42" t="s">
        <v>23</v>
      </c>
      <c r="E424" s="14"/>
      <c r="F424" s="12"/>
      <c r="G424" s="12"/>
      <c r="H424" s="43">
        <f t="shared" si="11"/>
        <v>0</v>
      </c>
      <c r="I424" s="44" t="str">
        <f>IFERROR(VLOOKUP("CM-SHA 11-"&amp;C424,'[1]Light Weight'!B:C,2,0),"")</f>
        <v/>
      </c>
      <c r="J424" s="15"/>
      <c r="K424" s="45">
        <f t="shared" si="7"/>
        <v>0</v>
      </c>
      <c r="M424" s="18"/>
    </row>
    <row r="425" spans="1:13" x14ac:dyDescent="0.25">
      <c r="A425" s="16"/>
      <c r="B425" s="19"/>
      <c r="C425" s="12"/>
      <c r="D425" s="42" t="s">
        <v>23</v>
      </c>
      <c r="E425" s="14"/>
      <c r="F425" s="12"/>
      <c r="G425" s="12"/>
      <c r="H425" s="43">
        <f t="shared" si="11"/>
        <v>0</v>
      </c>
      <c r="I425" s="44" t="str">
        <f>IFERROR(VLOOKUP("CM-SHA 11-"&amp;C425,'[1]Light Weight'!B:C,2,0),"")</f>
        <v/>
      </c>
      <c r="J425" s="15"/>
      <c r="K425" s="45">
        <f t="shared" si="7"/>
        <v>0</v>
      </c>
      <c r="M425" s="18"/>
    </row>
    <row r="426" spans="1:13" x14ac:dyDescent="0.25">
      <c r="A426" s="16"/>
      <c r="B426" s="19"/>
      <c r="C426" s="12"/>
      <c r="D426" s="42" t="s">
        <v>23</v>
      </c>
      <c r="E426" s="14"/>
      <c r="F426" s="12"/>
      <c r="G426" s="12"/>
      <c r="H426" s="43">
        <f t="shared" ref="H426:H553" si="23">G426-F426</f>
        <v>0</v>
      </c>
      <c r="I426" s="44" t="str">
        <f>IFERROR(VLOOKUP("CM-SHA 11-"&amp;C426,'[1]Light Weight'!B:C,2,0),"")</f>
        <v/>
      </c>
      <c r="J426" s="15"/>
      <c r="K426" s="45">
        <f t="shared" si="7"/>
        <v>0</v>
      </c>
      <c r="M426" s="18"/>
    </row>
    <row r="427" spans="1:13" x14ac:dyDescent="0.25">
      <c r="A427" s="20"/>
      <c r="B427" s="21"/>
      <c r="C427" s="22"/>
      <c r="D427" s="42"/>
      <c r="E427" s="23"/>
      <c r="F427" s="22"/>
      <c r="G427" s="22"/>
      <c r="H427" s="43"/>
      <c r="I427" s="44"/>
      <c r="J427" s="24"/>
      <c r="K427" s="45"/>
      <c r="M427" s="18"/>
    </row>
    <row r="428" spans="1:13" ht="15.75" x14ac:dyDescent="0.25">
      <c r="A428" s="25" t="s">
        <v>47</v>
      </c>
      <c r="B428" s="26"/>
      <c r="C428" s="27"/>
      <c r="D428" s="28"/>
      <c r="E428" s="29"/>
      <c r="F428" s="30">
        <f t="shared" ref="F428:K428" si="24">SUM(F7:F427)</f>
        <v>3530700</v>
      </c>
      <c r="G428" s="30">
        <f t="shared" si="24"/>
        <v>10206700</v>
      </c>
      <c r="H428" s="30">
        <f t="shared" si="24"/>
        <v>6676000</v>
      </c>
      <c r="I428" s="30">
        <f t="shared" si="24"/>
        <v>3581460</v>
      </c>
      <c r="J428" s="30">
        <f t="shared" si="24"/>
        <v>6710340</v>
      </c>
      <c r="K428" s="30">
        <f t="shared" si="24"/>
        <v>-34340</v>
      </c>
      <c r="M428" s="18"/>
    </row>
    <row r="429" spans="1:13" ht="15.75" x14ac:dyDescent="0.25">
      <c r="A429" s="25" t="s">
        <v>48</v>
      </c>
      <c r="B429" s="25"/>
      <c r="C429" s="25"/>
      <c r="D429" s="25"/>
      <c r="E429" s="26"/>
      <c r="F429" s="31">
        <f t="shared" ref="F429:K429" si="25">SUM(F428/1000)</f>
        <v>3530.7</v>
      </c>
      <c r="G429" s="31">
        <f t="shared" si="25"/>
        <v>10206.700000000001</v>
      </c>
      <c r="H429" s="32">
        <f t="shared" si="25"/>
        <v>6676</v>
      </c>
      <c r="I429" s="32">
        <f t="shared" si="25"/>
        <v>3581.46</v>
      </c>
      <c r="J429" s="32">
        <f t="shared" si="25"/>
        <v>6710.34</v>
      </c>
      <c r="K429" s="32">
        <f t="shared" si="25"/>
        <v>-34.340000000000003</v>
      </c>
      <c r="M429" s="18"/>
    </row>
    <row r="430" spans="1:13" x14ac:dyDescent="0.25">
      <c r="M430" s="18"/>
    </row>
    <row r="431" spans="1:13" x14ac:dyDescent="0.25">
      <c r="M431" s="18"/>
    </row>
    <row r="432" spans="1:13" x14ac:dyDescent="0.25">
      <c r="M432" s="18"/>
    </row>
    <row r="433" spans="13:13" x14ac:dyDescent="0.25">
      <c r="M433" s="18"/>
    </row>
    <row r="434" spans="13:13" x14ac:dyDescent="0.25">
      <c r="M434" s="18"/>
    </row>
    <row r="435" spans="13:13" x14ac:dyDescent="0.25">
      <c r="M435" s="18"/>
    </row>
    <row r="436" spans="13:13" x14ac:dyDescent="0.25">
      <c r="M436" s="18"/>
    </row>
    <row r="437" spans="13:13" x14ac:dyDescent="0.25">
      <c r="M437" s="18"/>
    </row>
    <row r="438" spans="13:13" x14ac:dyDescent="0.25">
      <c r="M438" s="18"/>
    </row>
    <row r="439" spans="13:13" x14ac:dyDescent="0.25">
      <c r="M439" s="18"/>
    </row>
    <row r="440" spans="13:13" x14ac:dyDescent="0.25">
      <c r="M440" s="18"/>
    </row>
    <row r="441" spans="13:13" x14ac:dyDescent="0.25">
      <c r="M441" s="18"/>
    </row>
    <row r="442" spans="13:13" x14ac:dyDescent="0.25">
      <c r="M442" s="18"/>
    </row>
    <row r="443" spans="13:13" x14ac:dyDescent="0.25">
      <c r="M443" s="18"/>
    </row>
    <row r="444" spans="13:13" x14ac:dyDescent="0.25">
      <c r="M444" s="18"/>
    </row>
    <row r="445" spans="13:13" x14ac:dyDescent="0.25">
      <c r="M445" s="18"/>
    </row>
    <row r="446" spans="13:13" x14ac:dyDescent="0.25">
      <c r="M446" s="18"/>
    </row>
    <row r="447" spans="13:13" x14ac:dyDescent="0.25">
      <c r="M447" s="18"/>
    </row>
    <row r="448" spans="13:13" x14ac:dyDescent="0.25">
      <c r="M448" s="18"/>
    </row>
    <row r="449" spans="13:13" x14ac:dyDescent="0.25">
      <c r="M449" s="18"/>
    </row>
    <row r="450" spans="13:13" x14ac:dyDescent="0.25">
      <c r="M450" s="18"/>
    </row>
    <row r="451" spans="13:13" x14ac:dyDescent="0.25">
      <c r="M451" s="18"/>
    </row>
    <row r="452" spans="13:13" x14ac:dyDescent="0.25">
      <c r="M452" s="18"/>
    </row>
    <row r="453" spans="13:13" x14ac:dyDescent="0.25">
      <c r="M453" s="18"/>
    </row>
    <row r="454" spans="13:13" x14ac:dyDescent="0.25">
      <c r="M454" s="18"/>
    </row>
    <row r="455" spans="13:13" x14ac:dyDescent="0.25">
      <c r="M455" s="18"/>
    </row>
    <row r="456" spans="13:13" x14ac:dyDescent="0.25">
      <c r="M456" s="18"/>
    </row>
    <row r="457" spans="13:13" x14ac:dyDescent="0.25">
      <c r="M457" s="18"/>
    </row>
    <row r="458" spans="13:13" x14ac:dyDescent="0.25">
      <c r="M458" s="18"/>
    </row>
    <row r="459" spans="13:13" x14ac:dyDescent="0.25">
      <c r="M459" s="18"/>
    </row>
    <row r="460" spans="13:13" x14ac:dyDescent="0.25">
      <c r="M460" s="18"/>
    </row>
    <row r="461" spans="13:13" x14ac:dyDescent="0.25">
      <c r="M461" s="18"/>
    </row>
    <row r="462" spans="13:13" x14ac:dyDescent="0.25">
      <c r="M462" s="18"/>
    </row>
    <row r="463" spans="13:13" x14ac:dyDescent="0.25">
      <c r="M463" s="18"/>
    </row>
    <row r="464" spans="13:13" x14ac:dyDescent="0.25">
      <c r="M464" s="18"/>
    </row>
    <row r="465" spans="13:13" x14ac:dyDescent="0.25">
      <c r="M465" s="18"/>
    </row>
    <row r="466" spans="13:13" x14ac:dyDescent="0.25">
      <c r="M466" s="18"/>
    </row>
    <row r="467" spans="13:13" x14ac:dyDescent="0.25">
      <c r="M467" s="18"/>
    </row>
    <row r="468" spans="13:13" x14ac:dyDescent="0.25">
      <c r="M468" s="18"/>
    </row>
    <row r="469" spans="13:13" x14ac:dyDescent="0.25">
      <c r="M469" s="18"/>
    </row>
    <row r="470" spans="13:13" x14ac:dyDescent="0.25">
      <c r="M470" s="18"/>
    </row>
    <row r="471" spans="13:13" x14ac:dyDescent="0.25">
      <c r="M471" s="18"/>
    </row>
    <row r="472" spans="13:13" x14ac:dyDescent="0.25">
      <c r="M472" s="18"/>
    </row>
    <row r="473" spans="13:13" x14ac:dyDescent="0.25">
      <c r="M473" s="18"/>
    </row>
    <row r="474" spans="13:13" x14ac:dyDescent="0.25">
      <c r="M474" s="18"/>
    </row>
    <row r="475" spans="13:13" x14ac:dyDescent="0.25">
      <c r="M475" s="18"/>
    </row>
    <row r="476" spans="13:13" x14ac:dyDescent="0.25">
      <c r="M476" s="18"/>
    </row>
    <row r="477" spans="13:13" x14ac:dyDescent="0.25">
      <c r="M477" s="18"/>
    </row>
    <row r="478" spans="13:13" x14ac:dyDescent="0.25">
      <c r="M478" s="18"/>
    </row>
    <row r="479" spans="13:13" x14ac:dyDescent="0.25">
      <c r="M479" s="18"/>
    </row>
    <row r="480" spans="13:13" x14ac:dyDescent="0.25">
      <c r="M480" s="18"/>
    </row>
    <row r="481" spans="13:13" x14ac:dyDescent="0.25">
      <c r="M481" s="18"/>
    </row>
    <row r="482" spans="13:13" x14ac:dyDescent="0.25">
      <c r="M482" s="18"/>
    </row>
    <row r="483" spans="13:13" x14ac:dyDescent="0.25">
      <c r="M483" s="18"/>
    </row>
    <row r="484" spans="13:13" x14ac:dyDescent="0.25">
      <c r="M484" s="18"/>
    </row>
    <row r="485" spans="13:13" x14ac:dyDescent="0.25">
      <c r="M485" s="18"/>
    </row>
    <row r="486" spans="13:13" x14ac:dyDescent="0.25">
      <c r="M486" s="18"/>
    </row>
    <row r="487" spans="13:13" x14ac:dyDescent="0.25">
      <c r="M487" s="18"/>
    </row>
    <row r="488" spans="13:13" x14ac:dyDescent="0.25">
      <c r="M488" s="18"/>
    </row>
    <row r="489" spans="13:13" x14ac:dyDescent="0.25">
      <c r="M489" s="18"/>
    </row>
    <row r="490" spans="13:13" x14ac:dyDescent="0.25">
      <c r="M490" s="18"/>
    </row>
    <row r="491" spans="13:13" x14ac:dyDescent="0.25">
      <c r="M491" s="18"/>
    </row>
    <row r="492" spans="13:13" x14ac:dyDescent="0.25">
      <c r="M492" s="18"/>
    </row>
    <row r="493" spans="13:13" x14ac:dyDescent="0.25">
      <c r="M493" s="18"/>
    </row>
    <row r="494" spans="13:13" x14ac:dyDescent="0.25">
      <c r="M494" s="18"/>
    </row>
    <row r="495" spans="13:13" x14ac:dyDescent="0.25">
      <c r="M495" s="18"/>
    </row>
    <row r="496" spans="13:13" x14ac:dyDescent="0.25">
      <c r="M496" s="18"/>
    </row>
    <row r="497" spans="13:13" x14ac:dyDescent="0.25">
      <c r="M497" s="18"/>
    </row>
    <row r="498" spans="13:13" x14ac:dyDescent="0.25">
      <c r="M498" s="18"/>
    </row>
    <row r="499" spans="13:13" x14ac:dyDescent="0.25">
      <c r="M499" s="18"/>
    </row>
    <row r="500" spans="13:13" x14ac:dyDescent="0.25">
      <c r="M500" s="18"/>
    </row>
    <row r="501" spans="13:13" x14ac:dyDescent="0.25">
      <c r="M501" s="18"/>
    </row>
    <row r="502" spans="13:13" x14ac:dyDescent="0.25">
      <c r="M502" s="18"/>
    </row>
    <row r="503" spans="13:13" x14ac:dyDescent="0.25">
      <c r="M503" s="18"/>
    </row>
    <row r="504" spans="13:13" x14ac:dyDescent="0.25">
      <c r="M504" s="18"/>
    </row>
    <row r="505" spans="13:13" x14ac:dyDescent="0.25">
      <c r="M505" s="18"/>
    </row>
    <row r="506" spans="13:13" x14ac:dyDescent="0.25">
      <c r="M506" s="18"/>
    </row>
    <row r="507" spans="13:13" x14ac:dyDescent="0.25">
      <c r="M507" s="18"/>
    </row>
    <row r="508" spans="13:13" x14ac:dyDescent="0.25">
      <c r="M508" s="18"/>
    </row>
    <row r="509" spans="13:13" x14ac:dyDescent="0.25">
      <c r="M509" s="18"/>
    </row>
    <row r="510" spans="13:13" x14ac:dyDescent="0.25">
      <c r="M510" s="18"/>
    </row>
    <row r="511" spans="13:13" x14ac:dyDescent="0.25">
      <c r="M511" s="18"/>
    </row>
    <row r="512" spans="13:13" x14ac:dyDescent="0.25">
      <c r="M512" s="18"/>
    </row>
    <row r="513" spans="12:13" x14ac:dyDescent="0.25">
      <c r="M513" s="18"/>
    </row>
    <row r="514" spans="12:13" x14ac:dyDescent="0.25">
      <c r="M514" s="18"/>
    </row>
    <row r="515" spans="12:13" x14ac:dyDescent="0.25">
      <c r="L515" s="33"/>
      <c r="M515" s="34"/>
    </row>
    <row r="516" spans="12:13" x14ac:dyDescent="0.25">
      <c r="L516" s="33"/>
      <c r="M516" s="34"/>
    </row>
    <row r="517" spans="12:13" x14ac:dyDescent="0.25">
      <c r="M517" s="18"/>
    </row>
    <row r="518" spans="12:13" x14ac:dyDescent="0.25">
      <c r="M518" s="18"/>
    </row>
    <row r="519" spans="12:13" x14ac:dyDescent="0.25">
      <c r="M519" s="18"/>
    </row>
    <row r="520" spans="12:13" x14ac:dyDescent="0.25">
      <c r="M520" s="18"/>
    </row>
    <row r="521" spans="12:13" x14ac:dyDescent="0.25">
      <c r="M521" s="18"/>
    </row>
    <row r="522" spans="12:13" x14ac:dyDescent="0.25">
      <c r="M522" s="18"/>
    </row>
    <row r="523" spans="12:13" x14ac:dyDescent="0.25">
      <c r="M523" s="18"/>
    </row>
    <row r="524" spans="12:13" x14ac:dyDescent="0.25">
      <c r="M524" s="18"/>
    </row>
  </sheetData>
  <mergeCells count="8">
    <mergeCell ref="I5:J5"/>
    <mergeCell ref="K5:K6"/>
    <mergeCell ref="A5:A6"/>
    <mergeCell ref="B5:B6"/>
    <mergeCell ref="C5:C6"/>
    <mergeCell ref="D5:D6"/>
    <mergeCell ref="E5:E6"/>
    <mergeCell ref="F5:H5"/>
  </mergeCells>
  <phoneticPr fontId="5" type="noConversion"/>
  <conditionalFormatting sqref="D7:D427">
    <cfRule type="containsText" dxfId="3" priority="3" operator="containsText" text="Gold">
      <formula>NOT(ISERROR(SEARCH("Gold",D7)))</formula>
    </cfRule>
    <cfRule type="containsText" dxfId="2" priority="4" operator="containsText" text="BM">
      <formula>NOT(ISERROR(SEARCH("BM",D7)))</formula>
    </cfRule>
  </conditionalFormatting>
  <conditionalFormatting sqref="H7:I427 K7:K427">
    <cfRule type="expression" dxfId="1" priority="1">
      <formula>$D7="Gold"</formula>
    </cfRule>
    <cfRule type="expression" dxfId="0" priority="2">
      <formula>$D7="BM"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2BE7D-E415-41FF-AAE3-3A8AB301DEEF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013F3-4E96-416B-B93E-28E0138CEF2C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F6B46-C5FC-4503-B076-9582182D2BC0}">
  <sheetPr codeName="Sheet5"/>
  <dimension ref="A1"/>
  <sheetViews>
    <sheetView workbookViewId="0">
      <selection activeCell="I18" sqref="I1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</vt:lpstr>
      <vt:lpstr>Main</vt:lpstr>
      <vt:lpstr>BM</vt:lpstr>
      <vt:lpstr>AM</vt:lpstr>
      <vt:lpstr>Gold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Packing</dc:creator>
  <cp:lastModifiedBy>Packing</cp:lastModifiedBy>
  <dcterms:created xsi:type="dcterms:W3CDTF">2026-05-28T16:02:44Z</dcterms:created>
  <dcterms:modified xsi:type="dcterms:W3CDTF">2026-05-28T20:30:38Z</dcterms:modified>
</cp:coreProperties>
</file>